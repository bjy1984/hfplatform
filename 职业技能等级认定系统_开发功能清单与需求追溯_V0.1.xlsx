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4860" activeTab="2"/>
  </bookViews>
  <sheets>
    <sheet name="总览" sheetId="1" r:id="rId1"/>
    <sheet name="开发功能清单" sheetId="2" r:id="rId2"/>
    <sheet name="约束与验收" sheetId="3" r:id="rId3"/>
    <sheet name="待确认事项" sheetId="4" r:id="rId4"/>
    <sheet name="条款追溯" sheetId="5" r:id="rId5"/>
    <sheet name="实施路线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<sst xmlns="http://schemas.openxmlformats.org/spreadsheetml/2006/main" count="3085" uniqueCount="1509">
  <si>
    <t>职业技能等级认定系统｜功能与架构规划台账</t>
  </si>
  <si>
    <t>V0.1 · 2026-09-20 · 依据用户提供的24页技术协议编制 · 本版状态：待评审</t>
  </si>
  <si>
    <t>开发功能</t>
  </si>
  <si>
    <t>非功能/交付约束</t>
  </si>
  <si>
    <t>待确认事项</t>
  </si>
  <si>
    <t>来源追溯条目</t>
  </si>
  <si>
    <t>模块拆解与建议开发顺序</t>
  </si>
  <si>
    <t>一级模块</t>
  </si>
  <si>
    <t>功能数</t>
  </si>
  <si>
    <t>P0</t>
  </si>
  <si>
    <t>P1</t>
  </si>
  <si>
    <t>已确认</t>
  </si>
  <si>
    <t>统一工作台与基础管理</t>
  </si>
  <si>
    <t>题库开发</t>
  </si>
  <si>
    <t>题库管理与组卷</t>
  </si>
  <si>
    <t>考试组织与考生端</t>
  </si>
  <si>
    <t>阅卷与核分</t>
  </si>
  <si>
    <t>统计分析与档案</t>
  </si>
  <si>
    <t>数据对接与集成</t>
  </si>
  <si>
    <t>安全与运行支撑</t>
  </si>
  <si>
    <t>来源类型与评审边界</t>
  </si>
  <si>
    <t>协议要求</t>
  </si>
  <si>
    <t>条款明确提出；范围和验收拆解仍需双方评审。</t>
  </si>
  <si>
    <t>设计细化</t>
  </si>
  <si>
    <t>实现目标所需的工程设计建议，不冒充协议逐字原文。</t>
  </si>
  <si>
    <t>条件能力</t>
  </si>
  <si>
    <t>例如可对接公安核验；正式授权和接口可用后实施。</t>
  </si>
  <si>
    <t>工作簿使用说明</t>
  </si>
  <si>
    <t>开发功能清单</t>
  </si>
  <si>
    <t>按功能编号筛选范围、角色、条款、依赖与验收要点；蓝色文字列用于维护评审状态、负责人和备注。</t>
  </si>
  <si>
    <t>约束与验收</t>
  </si>
  <si>
    <t>管理安全测评、国产适配、性能、授权、电子书资源、驻厂及交付等不能遗漏的非功能要求。</t>
  </si>
  <si>
    <t>逐项明确保密/网络、终端、接口、题型、成绩、许可和施工边界，形成书面结论。</t>
  </si>
  <si>
    <t>条款追溯</t>
  </si>
  <si>
    <t>117项来源条款/章节映射至功能或约束；后续补充详细设计和测试证据，不将覆盖视为验收通过。</t>
  </si>
  <si>
    <t>实施路线</t>
  </si>
  <si>
    <t>保留协议24个月五阶段；月份只作连续排期示意，实际节点按合同事件和工作日计算。</t>
  </si>
  <si>
    <t>P0/P1只表示建议顺序，不减少协议内交付义务。源文件未提供的规范正文、接口说明、设备清单和数据规模，不作为已知条件。技术选型、服务器配置及强防舞弊能力须经原型验证和甲方确认。</t>
  </si>
  <si>
    <t>来源：《技术协议（招标文件）.docx》，第一部分“技术要求”，第1—24页；架构与验收建议详见配套Word文档。</t>
  </si>
  <si>
    <t>技术开发功能清单｜134项</t>
  </si>
  <si>
    <t>P0/P1仅表示建议实施顺序，不删减协议内义务；“设计细化”非协议逐字原文，“条件能力”须具备正式授权和接口条件。</t>
  </si>
  <si>
    <t>来源：《技术协议（招标文件）.docx》第一部分技术要求，24页；条款编号可回溯原文。设计与验收细化须经评审，不代表已完成或验收通过。</t>
  </si>
  <si>
    <t>功能编号</t>
  </si>
  <si>
    <t>功能名称</t>
  </si>
  <si>
    <t>开发范围</t>
  </si>
  <si>
    <t>使用角色</t>
  </si>
  <si>
    <t>协议条款</t>
  </si>
  <si>
    <t>来源类型</t>
  </si>
  <si>
    <t>实施顺序</t>
  </si>
  <si>
    <t>前置依赖</t>
  </si>
  <si>
    <t>建议验收要点</t>
  </si>
  <si>
    <t>评审状态</t>
  </si>
  <si>
    <t>负责人</t>
  </si>
  <si>
    <t>评审备注</t>
  </si>
  <si>
    <t>G-01</t>
  </si>
  <si>
    <t>统一工作台</t>
  </si>
  <si>
    <t>集成题库开发、题库管理、无纸化考试和原考务入口，统一操作与业务衔接。</t>
  </si>
  <si>
    <t>管理人员、专家、考生</t>
  </si>
  <si>
    <t>主要指标1、4；功能概述；2.4.7</t>
  </si>
  <si>
    <t>原系统门户、身份接口</t>
  </si>
  <si>
    <t>在统一入口完成授权功能跳转，原业务可连续使用。</t>
  </si>
  <si>
    <t>待评审</t>
  </si>
  <si>
    <t>待指定</t>
  </si>
  <si>
    <t/>
  </si>
  <si>
    <t>G-02</t>
  </si>
  <si>
    <t>组织与账号映射</t>
  </si>
  <si>
    <t>建立集团、机构、考点与人员账号映射，复用原系统已有组织身份，不另设独立主数据来源。</t>
  </si>
  <si>
    <t>系统管理员</t>
  </si>
  <si>
    <t>2.1.14；2.4.3；2.4.7</t>
  </si>
  <si>
    <t>组织、人员主数据</t>
  </si>
  <si>
    <t>同一人员跨系统身份一致，停用与变更可同步验证。</t>
  </si>
  <si>
    <t>G-03</t>
  </si>
  <si>
    <t>角色与分级授权</t>
  </si>
  <si>
    <t>配置命题、审核、终审、题库管理、阅卷等角色及分级访问权限。</t>
  </si>
  <si>
    <t>2.1.6；2.1.16；2.2.14</t>
  </si>
  <si>
    <t>组织、账号</t>
  </si>
  <si>
    <t>逐角色测试可访问范围及越权阻断。</t>
  </si>
  <si>
    <t>G-04</t>
  </si>
  <si>
    <t>资源数据权限</t>
  </si>
  <si>
    <t>按机构、工种、等级、科目、任务和资源授权范围约束试题、试卷访问。</t>
  </si>
  <si>
    <t>授权管理员</t>
  </si>
  <si>
    <t>2.1.16；2.2.14</t>
  </si>
  <si>
    <t>授权范围规则</t>
  </si>
  <si>
    <t>接口与页面共同校验权限，越权查询和导出被拒绝。</t>
  </si>
  <si>
    <t>G-05</t>
  </si>
  <si>
    <t>统一任务待办</t>
  </si>
  <si>
    <t>汇集命题、审核、入库、组卷、阅卷待办，保留任务来源与处理状态。</t>
  </si>
  <si>
    <t>管理人员、专家</t>
  </si>
  <si>
    <t>2.1.3；2.1.12—13；2.4.7</t>
  </si>
  <si>
    <t>流程与各业务任务</t>
  </si>
  <si>
    <t>待办能进入对应任务，重复操作不产生重复业务记录。</t>
  </si>
  <si>
    <t>G-06</t>
  </si>
  <si>
    <t>职业工种与等级</t>
  </si>
  <si>
    <t>维护职业工种、技能等级及其编码关系，支撑分层命题、题库和考核。</t>
  </si>
  <si>
    <t>业务管理员</t>
  </si>
  <si>
    <t>2.1.2—3；2.2.4；2.2.16</t>
  </si>
  <si>
    <t>甲方基础编码</t>
  </si>
  <si>
    <t>按工种和等级建立资源目录并约束选择范围。</t>
  </si>
  <si>
    <t>G-07</t>
  </si>
  <si>
    <t>科目体系管理</t>
  </si>
  <si>
    <t>按工种与等级维护多层级科目，支持理论与技能业务统一管理。</t>
  </si>
  <si>
    <t>业务管理员、专家</t>
  </si>
  <si>
    <t>2.1.2；2.1.12—13；2.2.3</t>
  </si>
  <si>
    <t>工种、等级</t>
  </si>
  <si>
    <t>科目层级可维护，被使用科目变更有影响提示。</t>
  </si>
  <si>
    <t>G-08</t>
  </si>
  <si>
    <t>知识结构管理</t>
  </si>
  <si>
    <t>维护理论知识点层级、题目关联与知识结构，供命题和组卷使用。</t>
  </si>
  <si>
    <t>题库管理员、专家</t>
  </si>
  <si>
    <t>2.2.3—4；2.2.19</t>
  </si>
  <si>
    <t>科目目录</t>
  </si>
  <si>
    <t>试题可按知识点检索，结构调整保持关联可追溯。</t>
  </si>
  <si>
    <t>G-09</t>
  </si>
  <si>
    <t>专家信息库</t>
  </si>
  <si>
    <t>维护专家基本信息、能力领域及历次任务表现，供命审和阅卷安排。</t>
  </si>
  <si>
    <t>专家管理员</t>
  </si>
  <si>
    <t>2.1.6；2.1.12；2.3功能概述</t>
  </si>
  <si>
    <t>专家资料及授权</t>
  </si>
  <si>
    <t>专家档案与任务记录关联，信息变更留痕。</t>
  </si>
  <si>
    <t>G-10</t>
  </si>
  <si>
    <t>专家授权管理</t>
  </si>
  <si>
    <t>为专家分配科目、项目及命题、审核、终审职责，控制任务访问。</t>
  </si>
  <si>
    <t>2.1.6；2.1.12—13</t>
  </si>
  <si>
    <t>角色、专家、科目</t>
  </si>
  <si>
    <t>未授权专家不可访问试题；权限到期和回收可验证。</t>
  </si>
  <si>
    <t>G-11</t>
  </si>
  <si>
    <t>专家工作量统计</t>
  </si>
  <si>
    <t>统计命题时间、命制量、退回数、通过率及历次综合表现。</t>
  </si>
  <si>
    <t>管理人员</t>
  </si>
  <si>
    <t>2.1.6；2.1.12</t>
  </si>
  <si>
    <t>任务、审核记录</t>
  </si>
  <si>
    <t>按统一统计口径核对明细与汇总结果。</t>
  </si>
  <si>
    <t>G-12</t>
  </si>
  <si>
    <t>历史数据查询复用</t>
  </si>
  <si>
    <t>统一查询历次任务与资源数据，支持授权范围内的历史调用。</t>
  </si>
  <si>
    <t>管理人员、授权专家</t>
  </si>
  <si>
    <t>2.1.10；2.1.12—13；2.1.16</t>
  </si>
  <si>
    <t>历史迁移范围</t>
  </si>
  <si>
    <t>历史记录可按条件查询并定位原任务和版本。</t>
  </si>
  <si>
    <t>D-01</t>
  </si>
  <si>
    <t>开发分类管理</t>
  </si>
  <si>
    <t>在理论、技能开发中区分母题库、子题库和通用题库，明确任务归属。</t>
  </si>
  <si>
    <t>开发组织方</t>
  </si>
  <si>
    <t>2.1总述</t>
  </si>
  <si>
    <t>资源分类规则</t>
  </si>
  <si>
    <t>三类资源均可建立开发任务并保持类别标识。</t>
  </si>
  <si>
    <t>D-02</t>
  </si>
  <si>
    <t>命题计划发布</t>
  </si>
  <si>
    <t>依据国家职业标准或企业评价规范，按工种、等级和科目制定发布计划。</t>
  </si>
  <si>
    <t>2.1.3</t>
  </si>
  <si>
    <t>职业标准、企业规范</t>
  </si>
  <si>
    <t>计划记录依据版本，任务与计划关联可查。</t>
  </si>
  <si>
    <t>D-03</t>
  </si>
  <si>
    <t>专家匹配与任务分配</t>
  </si>
  <si>
    <t>按工种、等级、科目匹配专家资源并分配命题、审核任务。</t>
  </si>
  <si>
    <t>项目负责人</t>
  </si>
  <si>
    <t>2.1.3；2.1.6</t>
  </si>
  <si>
    <t>专家能力标签</t>
  </si>
  <si>
    <t>匹配依据和分配结果可查看，任务量可跟踪。</t>
  </si>
  <si>
    <t>D-04</t>
  </si>
  <si>
    <t>标准开发流程</t>
  </si>
  <si>
    <t>配置计划、任务分配、多轮审核、版本管理、入库等节点并自动流转。</t>
  </si>
  <si>
    <t>甲方流程与审批规则</t>
  </si>
  <si>
    <t>节点条件、退回路径和各状态流转可演示。</t>
  </si>
  <si>
    <t>D-05</t>
  </si>
  <si>
    <t>专家在线接单</t>
  </si>
  <si>
    <t>专家在线接收任务并进入项目负责、命制、审核等工作空间。</t>
  </si>
  <si>
    <t>命题及审题专家</t>
  </si>
  <si>
    <t>2.1.4；2.1.13</t>
  </si>
  <si>
    <t>身份、任务分配</t>
  </si>
  <si>
    <t>任务只对授权专家开放，接收与处理状态可查询。</t>
  </si>
  <si>
    <t>D-06</t>
  </si>
  <si>
    <t>题型模板配置</t>
  </si>
  <si>
    <t>配置10余种题型的字段、校验与评分结构；协议示例之外的题型待确认。</t>
  </si>
  <si>
    <t>2.1.4；2.2.3</t>
  </si>
  <si>
    <t>完整题型清单</t>
  </si>
  <si>
    <t>冻结题型矩阵，逐题型验证字段、录入、审核、入库。</t>
  </si>
  <si>
    <t>D-07</t>
  </si>
  <si>
    <t>理论试题在线命制</t>
  </si>
  <si>
    <t>按模板录入题干、选项、答案、解析等理论题内容。</t>
  </si>
  <si>
    <t>命题专家</t>
  </si>
  <si>
    <t>理论题型模板</t>
  </si>
  <si>
    <t>必填校验生效，保存后内容及格式正确。</t>
  </si>
  <si>
    <t>D-08</t>
  </si>
  <si>
    <t>技能试题在线命制</t>
  </si>
  <si>
    <t>录入实操步骤题、评分表题等，维护准备要求与评分标准。</t>
  </si>
  <si>
    <t>技能命题专家</t>
  </si>
  <si>
    <t>2.1.4；2.2.11；2.2.16</t>
  </si>
  <si>
    <t>技能题型、评分标准</t>
  </si>
  <si>
    <t>题目与准备要求、考核要求、评分表关联完整。</t>
  </si>
  <si>
    <t>D-09</t>
  </si>
  <si>
    <t>在线协作与意见汇总</t>
  </si>
  <si>
    <t>命审专家在线提出修改意见，并按试题和任务自动汇总。</t>
  </si>
  <si>
    <t>命审专家</t>
  </si>
  <si>
    <t>2.1.5</t>
  </si>
  <si>
    <t>协作权限规则</t>
  </si>
  <si>
    <t>意见可定位到试题，处理结果可查看。</t>
  </si>
  <si>
    <t>D-10</t>
  </si>
  <si>
    <t>内容重复比例检测</t>
  </si>
  <si>
    <t>比较命审试题内容，输出重复比例及对应的疑似重复题。</t>
  </si>
  <si>
    <t>2.1.7</t>
  </si>
  <si>
    <t>查重口径、样本集</t>
  </si>
  <si>
    <t>固定样本可复测重复比例；匹配范围和计算口径可说明。</t>
  </si>
  <si>
    <t>D-11</t>
  </si>
  <si>
    <t>重复试题处置</t>
  </si>
  <si>
    <t>支持完全重复题剔除及高度重复题调整优化，保留处置记录。</t>
  </si>
  <si>
    <t>查重阈值、权限</t>
  </si>
  <si>
    <t>处置结果可追踪；高相似题不未经确认直接删除。</t>
  </si>
  <si>
    <t>D-12</t>
  </si>
  <si>
    <t>初审处理</t>
  </si>
  <si>
    <t>执行初审、意见记录、退回修改和重新提交。</t>
  </si>
  <si>
    <t>初审专家</t>
  </si>
  <si>
    <t>2.1.8</t>
  </si>
  <si>
    <t>初审规则</t>
  </si>
  <si>
    <t>初审操作记录人员、时间与修改内容。</t>
  </si>
  <si>
    <t>D-13</t>
  </si>
  <si>
    <t>复审处理</t>
  </si>
  <si>
    <t>对初审通过题目复审，记录意见并允许退回。</t>
  </si>
  <si>
    <t>复审专家</t>
  </si>
  <si>
    <t>复审规则</t>
  </si>
  <si>
    <t>未经规定前置节点的题目不能直接通过复审。</t>
  </si>
  <si>
    <t>D-14</t>
  </si>
  <si>
    <t>终审处理</t>
  </si>
  <si>
    <t>对复审通过题目终审，形成入库前审核结论。</t>
  </si>
  <si>
    <t>终审专家</t>
  </si>
  <si>
    <t>2.1.8；2.1.13</t>
  </si>
  <si>
    <t>终审规则</t>
  </si>
  <si>
    <t>终审结论及过程留痕，未通过题目不能直接入库。</t>
  </si>
  <si>
    <t>D-15</t>
  </si>
  <si>
    <t>任务特批</t>
  </si>
  <si>
    <t>提供任务特批入口，具体触发条件、审批人和允许范围由甲方确认。</t>
  </si>
  <si>
    <t>授权负责人</t>
  </si>
  <si>
    <t>2.1.13</t>
  </si>
  <si>
    <t>特批业务定义</t>
  </si>
  <si>
    <t>特批留痕并受权限约束，不默认绕过质量与保密控制。</t>
  </si>
  <si>
    <t>D-16</t>
  </si>
  <si>
    <t>审核后入库</t>
  </si>
  <si>
    <t>对终审通过的试题执行任务入库并对接对应题库。</t>
  </si>
  <si>
    <t>入库管理员</t>
  </si>
  <si>
    <t>2.1.3—4；2.1.13—14</t>
  </si>
  <si>
    <t>题库接收接口</t>
  </si>
  <si>
    <t>试题入库数量、版本与审核结论一致。</t>
  </si>
  <si>
    <t>D-17</t>
  </si>
  <si>
    <t>版本管理</t>
  </si>
  <si>
    <t>保留题目版本和变更记录，关联开发、审核及入库信息。</t>
  </si>
  <si>
    <t>命审专家、管理员</t>
  </si>
  <si>
    <t>2.1.3；2.1.8—9</t>
  </si>
  <si>
    <t>版本编号规则</t>
  </si>
  <si>
    <t>新旧版本可辨识，历史引用能够定位到当时版本。</t>
  </si>
  <si>
    <t>D-18</t>
  </si>
  <si>
    <t>已入库试题修订</t>
  </si>
  <si>
    <t>根据技术更新或政策调整发起修订，重新进入审核流程。</t>
  </si>
  <si>
    <t>2.1.9</t>
  </si>
  <si>
    <t>标准更新依据</t>
  </si>
  <si>
    <t>修订经审核后生效，不覆盖已使用试卷中的历史内容。</t>
  </si>
  <si>
    <t>D-19</t>
  </si>
  <si>
    <t>任务进度跟踪</t>
  </si>
  <si>
    <t>实时查看计划、任务及各审核阶段进度，发现积压环节。</t>
  </si>
  <si>
    <t>2.1.3；2.1.10；2.1.12</t>
  </si>
  <si>
    <t>任务状态、时间口径</t>
  </si>
  <si>
    <t>进度汇总与任务明细一致，可定位逾期和退回任务。</t>
  </si>
  <si>
    <t>D-20</t>
  </si>
  <si>
    <t>全生命周期溯源</t>
  </si>
  <si>
    <t>记录试题创建、修改、审核、入库及修订操作。</t>
  </si>
  <si>
    <t>审计、业务管理员</t>
  </si>
  <si>
    <t>2.1.8；2.1.10；2.1.13</t>
  </si>
  <si>
    <t>审计留存规则</t>
  </si>
  <si>
    <t>由试题可追到操作者、时间、内容与任务来源。</t>
  </si>
  <si>
    <t>D-21</t>
  </si>
  <si>
    <t>历史任务管理</t>
  </si>
  <si>
    <t>查询历次计划和任务，查看对应试题、审核记录与结果。</t>
  </si>
  <si>
    <t>开发组织方、专家</t>
  </si>
  <si>
    <t>2.1.12—13</t>
  </si>
  <si>
    <t>历史数据范围</t>
  </si>
  <si>
    <t>授权用户可还原历史任务及阶段处理记录。</t>
  </si>
  <si>
    <t>D-22</t>
  </si>
  <si>
    <t>命题成果统计导出</t>
  </si>
  <si>
    <t>导出命题质量、专家绩效和计划完成情况等多维报表。</t>
  </si>
  <si>
    <t>2.1.11—12</t>
  </si>
  <si>
    <t>统计口径、模板</t>
  </si>
  <si>
    <t>导出结果与统计页面一致，且受导出权限控制。</t>
  </si>
  <si>
    <t>B-01</t>
  </si>
  <si>
    <t>理论与技能库分类</t>
  </si>
  <si>
    <t>分别管理理论、技能资源及母库、子库、通用库。</t>
  </si>
  <si>
    <t>题库管理员</t>
  </si>
  <si>
    <t>2.2总述</t>
  </si>
  <si>
    <t>资源分类、权限</t>
  </si>
  <si>
    <t>按业务类型与库类别检索、授权和使用资源。</t>
  </si>
  <si>
    <t>B-02</t>
  </si>
  <si>
    <t>结构化存储与唯一标识</t>
  </si>
  <si>
    <t>按工种、等级、科目、知识点保存理论题，技能题按工种和等级组织。</t>
  </si>
  <si>
    <t>2.2.4；2.2.16</t>
  </si>
  <si>
    <t>数据编码、结构标准</t>
  </si>
  <si>
    <t>每题有唯一标识，能定位目录和关联内容。</t>
  </si>
  <si>
    <t>B-03</t>
  </si>
  <si>
    <t>试题检索与查看</t>
  </si>
  <si>
    <t>按授权范围查询题型、工种、等级、科目、知识点等条件并查看详情。</t>
  </si>
  <si>
    <t>管理员、组卷专家</t>
  </si>
  <si>
    <t>2.2总述；2.2.8；2.2.12</t>
  </si>
  <si>
    <t>结构化标签</t>
  </si>
  <si>
    <t>组合检索结果准确，未授权内容不被返回。</t>
  </si>
  <si>
    <t>B-04</t>
  </si>
  <si>
    <t>资源动态维护</t>
  </si>
  <si>
    <t>新增、修改、删除试题、知识点和考评标准；已用资源按版本保留历史。</t>
  </si>
  <si>
    <t>2.1.9；2.2.19</t>
  </si>
  <si>
    <t>变更审核、删除规则</t>
  </si>
  <si>
    <t>变更生效与历史追溯并存，不破坏历史考试记录。</t>
  </si>
  <si>
    <t>B-05</t>
  </si>
  <si>
    <t>技能题转移与批量操作</t>
  </si>
  <si>
    <t>支持技能题查看、转移和批量维护。</t>
  </si>
  <si>
    <t>技能题库管理员</t>
  </si>
  <si>
    <t>2.2.12</t>
  </si>
  <si>
    <t>目标库权限</t>
  </si>
  <si>
    <t>批量操作可预览范围，结果可追溯。</t>
  </si>
  <si>
    <t>B-06</t>
  </si>
  <si>
    <t>Word与Excel导入</t>
  </si>
  <si>
    <t>按约定模板批量导入现有试题，减少重复录入。</t>
  </si>
  <si>
    <t>2.2.5</t>
  </si>
  <si>
    <t>历史样本、模板</t>
  </si>
  <si>
    <t>已确认模板可导入，题干、答案与评分字段保持一致。</t>
  </si>
  <si>
    <t>B-07</t>
  </si>
  <si>
    <t>导入合规校验</t>
  </si>
  <si>
    <t>校验格式、必填字段和引用关系，反馈错误条目供修正。</t>
  </si>
  <si>
    <t>模板、校验规则</t>
  </si>
  <si>
    <t>错误可定位到文件、题目和字段，失败条目不误入正式库。</t>
  </si>
  <si>
    <t>B-08</t>
  </si>
  <si>
    <t>比重表与组卷规则</t>
  </si>
  <si>
    <t>维护知识点比重、题型、难度、分值及组卷约束。</t>
  </si>
  <si>
    <t>组卷专家</t>
  </si>
  <si>
    <t>2.2.3；2.2.6—8；2.2.15</t>
  </si>
  <si>
    <t>组卷业务规范</t>
  </si>
  <si>
    <t>规则可保存并被组卷与质量校验共同引用。</t>
  </si>
  <si>
    <t>B-09</t>
  </si>
  <si>
    <t>固定组卷</t>
  </si>
  <si>
    <t>专家手动选择试题，配置题型、分值和难度生成固定试卷。</t>
  </si>
  <si>
    <t>2.2.6；2.2.8</t>
  </si>
  <si>
    <t>可用题库、规则</t>
  </si>
  <si>
    <t>选题结果与成卷内容一致，总分与题量可核对。</t>
  </si>
  <si>
    <t>B-10</t>
  </si>
  <si>
    <t>随机组卷</t>
  </si>
  <si>
    <t>按知识点覆盖度、题型分布和难度分布自动抽题。</t>
  </si>
  <si>
    <t>2.2.7</t>
  </si>
  <si>
    <t>题量、标签质量</t>
  </si>
  <si>
    <t>生成结果逐项满足已确认的硬性组卷规则。</t>
  </si>
  <si>
    <t>B-11</t>
  </si>
  <si>
    <t>多套试卷生成</t>
  </si>
  <si>
    <t>按比重和约束一次生成多套试卷，记录各套质量结果。</t>
  </si>
  <si>
    <t>2.2.7；2.2.15</t>
  </si>
  <si>
    <t>套数与重复规则</t>
  </si>
  <si>
    <t>多套试卷均通过规则校验，失败原因明确。</t>
  </si>
  <si>
    <t>B-12</t>
  </si>
  <si>
    <t>跨科目组卷</t>
  </si>
  <si>
    <t>支持从不同科目选题并统一核验试卷结构。</t>
  </si>
  <si>
    <t>2.2.8</t>
  </si>
  <si>
    <t>跨科目规则</t>
  </si>
  <si>
    <t>跨科目来源、题量、分值与授权范围可验证。</t>
  </si>
  <si>
    <t>B-13</t>
  </si>
  <si>
    <t>1+X+Y组卷</t>
  </si>
  <si>
    <t>支持母库、子库、通用题库组合组卷，记录来源占比。</t>
  </si>
  <si>
    <t>三类题库使用规则</t>
  </si>
  <si>
    <t>成卷能追溯三类题库来源且满足约定比重。</t>
  </si>
  <si>
    <t>B-14</t>
  </si>
  <si>
    <t>AB卷重复率控制</t>
  </si>
  <si>
    <t>生成AB卷并自动校验、控制重复率。</t>
  </si>
  <si>
    <t>2.2.8—9</t>
  </si>
  <si>
    <t>重复率阈值与公式</t>
  </si>
  <si>
    <t>重复率分母和题目版本口径经确认，结果可复核。</t>
  </si>
  <si>
    <t>B-15</t>
  </si>
  <si>
    <t>题目与选项打乱</t>
  </si>
  <si>
    <t>按试卷规则打乱题序、选项序，同时保持答案与评分映射正确。</t>
  </si>
  <si>
    <t>不可打乱题型规则</t>
  </si>
  <si>
    <t>同一试卷不同呈现顺序不影响答案判定。</t>
  </si>
  <si>
    <t>B-16</t>
  </si>
  <si>
    <t>组卷质量校验</t>
  </si>
  <si>
    <t>核验规则符合性、重复率、比重等；题库不足时提示，不静默放宽约束。</t>
  </si>
  <si>
    <t>2.2.9；2.2.15</t>
  </si>
  <si>
    <t>统一校验器</t>
  </si>
  <si>
    <t>可复核质量报告；规则不可满足时拒绝错误成卷。</t>
  </si>
  <si>
    <t>B-17</t>
  </si>
  <si>
    <t>试卷按计划存储</t>
  </si>
  <si>
    <t>按计划保存生成试卷，留存组卷规则及题目版本。</t>
  </si>
  <si>
    <t>试卷管理员</t>
  </si>
  <si>
    <t>2.2.9</t>
  </si>
  <si>
    <t>计划、版本规则</t>
  </si>
  <si>
    <t>可按计划检索试卷并还原生成时内容。</t>
  </si>
  <si>
    <t>B-18</t>
  </si>
  <si>
    <t>试卷批次配发</t>
  </si>
  <si>
    <t>按批次、职业工种、等级向机考和传统考试配发试卷。</t>
  </si>
  <si>
    <t>考务、试卷管理员</t>
  </si>
  <si>
    <t>2.2.12；2.4.5</t>
  </si>
  <si>
    <t>考试批次、考点信息</t>
  </si>
  <si>
    <t>配发对象、批次、试卷版本一致且可审计。</t>
  </si>
  <si>
    <t>B-19</t>
  </si>
  <si>
    <t>试卷使用追踪</t>
  </si>
  <si>
    <t>监控试卷使用和集团题库抽取情况，追溯资源应用过程。</t>
  </si>
  <si>
    <t>集团、机构管理员</t>
  </si>
  <si>
    <t>2.2.10—13</t>
  </si>
  <si>
    <t>考试使用回执</t>
  </si>
  <si>
    <t>从考试可追至试卷、题目版本和抽取记录。</t>
  </si>
  <si>
    <t>B-20</t>
  </si>
  <si>
    <t>最终试卷查看下载</t>
  </si>
  <si>
    <t>按权限查看、下载集团题库抽取情况及各机构最终考试试卷。</t>
  </si>
  <si>
    <t>授权管理人员</t>
  </si>
  <si>
    <t>2.2.10</t>
  </si>
  <si>
    <t>导出审批及保密策略</t>
  </si>
  <si>
    <t>下载内容为最终使用版本，导出有日志。</t>
  </si>
  <si>
    <t>B-21</t>
  </si>
  <si>
    <t>技能题完整内容管理</t>
  </si>
  <si>
    <t>维护正文、考生准备、考场准备、评分表及过程、结果要求。</t>
  </si>
  <si>
    <t>2.2.11；2.2.16</t>
  </si>
  <si>
    <t>技能模板与标准</t>
  </si>
  <si>
    <t>技能试卷包含执行考核所需的完整字段。</t>
  </si>
  <si>
    <t>B-22</t>
  </si>
  <si>
    <t>技能模块抽题</t>
  </si>
  <si>
    <t>按技能模块指定或随机抽题，形成现场考核试卷。</t>
  </si>
  <si>
    <t>技能组卷专家</t>
  </si>
  <si>
    <t>2.2.11</t>
  </si>
  <si>
    <t>技能模块体系</t>
  </si>
  <si>
    <t>模块抽题符合配置规则，可追溯试题来源。</t>
  </si>
  <si>
    <t>B-23</t>
  </si>
  <si>
    <t>实操移动评分</t>
  </si>
  <si>
    <t>现场考评人员在移动端逐环节填写评分表并提交评分。</t>
  </si>
  <si>
    <t>现场考评员</t>
  </si>
  <si>
    <t>移动终端与网络获批</t>
  </si>
  <si>
    <t>授权考评员可评分，提交可核对；终端网络方案需获批。</t>
  </si>
  <si>
    <t>B-24</t>
  </si>
  <si>
    <t>实操总分自动汇总</t>
  </si>
  <si>
    <t>根据现场各环节评分自动生成考生技能总分。</t>
  </si>
  <si>
    <t>考评员、考务</t>
  </si>
  <si>
    <t>评分规则、舍入方式</t>
  </si>
  <si>
    <t>按确认的计分规则核算，明细与总分一致。</t>
  </si>
  <si>
    <t>B-25</t>
  </si>
  <si>
    <t>线上线下试卷归集</t>
  </si>
  <si>
    <t>按同一考生与考试归集线上作答、线下试卷或评分记录，合成完整试卷。</t>
  </si>
  <si>
    <t>档案、考务管理员</t>
  </si>
  <si>
    <t>2.2.20</t>
  </si>
  <si>
    <t>考生场次ID、线下资料</t>
  </si>
  <si>
    <t>一人一场完整档案可查看；线下载体与采集方式待确认。</t>
  </si>
  <si>
    <t>B-26</t>
  </si>
  <si>
    <t>电子书上传与发布</t>
  </si>
  <si>
    <t>按类型上传电子书并发布，向授权用户提供查看学习入口。</t>
  </si>
  <si>
    <t>资源管理员、用户</t>
  </si>
  <si>
    <t>2.2.17</t>
  </si>
  <si>
    <t>正版电子书资源</t>
  </si>
  <si>
    <t>发布前后可见性正确，授权用户可正常查看。</t>
  </si>
  <si>
    <t>B-27</t>
  </si>
  <si>
    <t>电子书维护与追溯</t>
  </si>
  <si>
    <t>支持下架、删除废弃电子书并保留操作日志。</t>
  </si>
  <si>
    <t>资源管理员</t>
  </si>
  <si>
    <t>电子书授权与保留规则</t>
  </si>
  <si>
    <t>下架后不再提供访问，历史操作仍可查询。</t>
  </si>
  <si>
    <t>E-01</t>
  </si>
  <si>
    <t>考试计划生成与组织</t>
  </si>
  <si>
    <t>支持一键形成考试计划，与原考务计划联动，避免重复维护。</t>
  </si>
  <si>
    <t>考务管理员</t>
  </si>
  <si>
    <t>2.3功能概述；2.4.4</t>
  </si>
  <si>
    <t>原考务主责划分</t>
  </si>
  <si>
    <t>计划与原考务一一对应，重复同步不新增重复场次。</t>
  </si>
  <si>
    <t>E-02</t>
  </si>
  <si>
    <t>考点考场与监考联动</t>
  </si>
  <si>
    <t>灵活分配考点、考场并对接监考人员安排。</t>
  </si>
  <si>
    <t>考点及监考主数据</t>
  </si>
  <si>
    <t>场次、考场、人员安排跨系统一致。</t>
  </si>
  <si>
    <t>E-03</t>
  </si>
  <si>
    <t>配卷推送考试</t>
  </si>
  <si>
    <t>管理人员一键配卷后推送考试，考生按授权场次进入。</t>
  </si>
  <si>
    <t>考务管理员、考生</t>
  </si>
  <si>
    <t>2.3.1</t>
  </si>
  <si>
    <t>试卷配发、考生名单</t>
  </si>
  <si>
    <t>指定考生获得对应试卷，未配卷时不能开考。</t>
  </si>
  <si>
    <t>E-04</t>
  </si>
  <si>
    <t>PC端在线考试</t>
  </si>
  <si>
    <t>提供PC端理论考试完整作答流程。</t>
  </si>
  <si>
    <t>考生</t>
  </si>
  <si>
    <t>2.3.3</t>
  </si>
  <si>
    <t>终端兼容矩阵</t>
  </si>
  <si>
    <t>在确认的国产终端、系统和浏览器组合上通过实测。</t>
  </si>
  <si>
    <t>E-05</t>
  </si>
  <si>
    <t>平板与手机考试</t>
  </si>
  <si>
    <t>适配平板、手机在线考试及本人作答控制。</t>
  </si>
  <si>
    <t>2.3.3；2.3.6；2.3.12</t>
  </si>
  <si>
    <t>移动使用和网络获批</t>
  </si>
  <si>
    <t>逐终端演示登录、核验、答题、保存及交卷。</t>
  </si>
  <si>
    <t>E-06</t>
  </si>
  <si>
    <t>考前人脸身份核验</t>
  </si>
  <si>
    <t>考前采集面部信息并验证考生身份，覆盖PC与手机。</t>
  </si>
  <si>
    <t>考生、监考员</t>
  </si>
  <si>
    <t>2.3.2；2.3.6</t>
  </si>
  <si>
    <t>人脸服务、数据授权</t>
  </si>
  <si>
    <t>确认核验来源、阈值与人工复核流程后验证结果。</t>
  </si>
  <si>
    <t>E-07</t>
  </si>
  <si>
    <t>考中定时人脸核验</t>
  </si>
  <si>
    <t>按设置间隔进行考中身份核验并关联考试记录。</t>
  </si>
  <si>
    <t>2.3.6</t>
  </si>
  <si>
    <t>终端摄像与核验能力</t>
  </si>
  <si>
    <t>间隔配置生效，异常有证据与人工处置入口。</t>
  </si>
  <si>
    <t>E-08</t>
  </si>
  <si>
    <t>考后身份核验</t>
  </si>
  <si>
    <t>支持考后人脸核验，记录核验时间和结果。</t>
  </si>
  <si>
    <t>考后核验时点规则</t>
  </si>
  <si>
    <t>考后核验结果可回溯到该次考试。</t>
  </si>
  <si>
    <t>E-09</t>
  </si>
  <si>
    <t>公安身份验证适配</t>
  </si>
  <si>
    <t>预留并在获得合法授权、正式接口及网络条件后对接公安身份验证。</t>
  </si>
  <si>
    <t>接口权限、网络审批</t>
  </si>
  <si>
    <t>以获批接口联调验证；未获授权不得声称已接通。</t>
  </si>
  <si>
    <t>E-10</t>
  </si>
  <si>
    <t>IP访问范围控制</t>
  </si>
  <si>
    <t>限制仅指定IP或IP范围内的考生作答。</t>
  </si>
  <si>
    <t>考务、安全管理员</t>
  </si>
  <si>
    <t>2.3.7</t>
  </si>
  <si>
    <t>考试网络地址规划</t>
  </si>
  <si>
    <t>白名单外请求被拒绝；实际出口IP口径经确认。</t>
  </si>
  <si>
    <t>E-11</t>
  </si>
  <si>
    <t>输入法适配与限制</t>
  </si>
  <si>
    <t>适配协议列举的主流拼音、五笔输入法并执行允许清单。</t>
  </si>
  <si>
    <t>考生、管理员</t>
  </si>
  <si>
    <t>2.3.8</t>
  </si>
  <si>
    <t>输入法版本与许可</t>
  </si>
  <si>
    <t>在获批系统上逐项验证安装、输入与限制行为。</t>
  </si>
  <si>
    <t>E-12</t>
  </si>
  <si>
    <t>迟到与入场时间管控</t>
  </si>
  <si>
    <t>禁止迟到超过30分钟考生作答，统一使用可信考试时间。</t>
  </si>
  <si>
    <t>考务、考生</t>
  </si>
  <si>
    <t>2.3.9</t>
  </si>
  <si>
    <t>时间同步、补考规则</t>
  </si>
  <si>
    <t>覆盖迟到30分钟边界及超过边界的用例。</t>
  </si>
  <si>
    <t>E-13</t>
  </si>
  <si>
    <t>最早交卷时间管控</t>
  </si>
  <si>
    <t>禁止考试开始后15分钟内交卷。</t>
  </si>
  <si>
    <t>考试开始时间口径</t>
  </si>
  <si>
    <t>14分59秒与15分钟等边界行为可验证。</t>
  </si>
  <si>
    <t>E-14</t>
  </si>
  <si>
    <t>防切屏与离开考试环境</t>
  </si>
  <si>
    <t>限制切屏、离开考试环境并记录相应行为。</t>
  </si>
  <si>
    <t>2.3.2；2.3.10</t>
  </si>
  <si>
    <t>受控终端能力</t>
  </si>
  <si>
    <t>各端完成验证；仅事件检测不得标为强制阻断。</t>
  </si>
  <si>
    <t>E-15</t>
  </si>
  <si>
    <t>非考试软件与可疑软件管控</t>
  </si>
  <si>
    <t>限制启动非考试软件，识别并处置可疑软件。</t>
  </si>
  <si>
    <t>安全管理员、监考员</t>
  </si>
  <si>
    <t>2.3.10</t>
  </si>
  <si>
    <t>安全客户端与系统权限</t>
  </si>
  <si>
    <t>按获批软件清单实测，明确阻断和告警能力。</t>
  </si>
  <si>
    <t>E-16</t>
  </si>
  <si>
    <t>防截屏与防录屏</t>
  </si>
  <si>
    <t>按协议实现PC及手机考试截屏、录屏防护。</t>
  </si>
  <si>
    <t>安全管理员、考生</t>
  </si>
  <si>
    <t>终端能力验证、审批</t>
  </si>
  <si>
    <t>逐操作系统和终端验证；不对未验证平台作能力承诺。</t>
  </si>
  <si>
    <t>E-17</t>
  </si>
  <si>
    <t>防远程控制</t>
  </si>
  <si>
    <t>对考试期间远程控制行为进行阻断或异常处置。</t>
  </si>
  <si>
    <t>受控终端策略</t>
  </si>
  <si>
    <t>确认覆盖清单并完成场景测试与证据留存。</t>
  </si>
  <si>
    <t>E-18</t>
  </si>
  <si>
    <t>试卷内容防复制</t>
  </si>
  <si>
    <t>禁止复制试卷内容，控制客户端和导出通道的内容暴露。</t>
  </si>
  <si>
    <t>考生、安全管理员</t>
  </si>
  <si>
    <t>2.3.11</t>
  </si>
  <si>
    <t>客户端能力与策略</t>
  </si>
  <si>
    <t>复制、粘贴、打印等配置按终端矩阵验证。</t>
  </si>
  <si>
    <t>E-19</t>
  </si>
  <si>
    <t>机位自动绑定</t>
  </si>
  <si>
    <t>建立考生、考试场次与机位绑定，异常换机按授权处理。</t>
  </si>
  <si>
    <t>考务、监考员</t>
  </si>
  <si>
    <t>机位识别与换机规则</t>
  </si>
  <si>
    <t>未授权机位不能继续作答，合法换机留痕。</t>
  </si>
  <si>
    <t>E-20</t>
  </si>
  <si>
    <t>考试题序与选项随机化</t>
  </si>
  <si>
    <t>考试呈现打乱题目、选项顺序并固定该考生答卷映射。</t>
  </si>
  <si>
    <t>考生、考试服务</t>
  </si>
  <si>
    <t>2.3.2；2.3.11</t>
  </si>
  <si>
    <t>试卷快照、随机化规则</t>
  </si>
  <si>
    <t>续考后顺序保持一致，评分使用原始答案映射。</t>
  </si>
  <si>
    <t>E-21</t>
  </si>
  <si>
    <t>字号与计算器</t>
  </si>
  <si>
    <t>提供字号调整和考试内计算器调用，并适配手机操作。</t>
  </si>
  <si>
    <t>2.3.12</t>
  </si>
  <si>
    <t>允许工具清单</t>
  </si>
  <si>
    <t>可用题型和计算器规则确认后，逐端验证操作。</t>
  </si>
  <si>
    <t>E-22</t>
  </si>
  <si>
    <t>试题标记与倒计时</t>
  </si>
  <si>
    <t>提供题目标记、答题导航及考试剩余时间提醒。</t>
  </si>
  <si>
    <t>时间与答题状态</t>
  </si>
  <si>
    <t>标记状态保存，倒计时与服务器时间一致。</t>
  </si>
  <si>
    <t>E-23</t>
  </si>
  <si>
    <t>交卷确认与考生签字</t>
  </si>
  <si>
    <t>提供多次交卷确认和考生签字确认，适配移动端。</t>
  </si>
  <si>
    <t>签字方式、异常规则</t>
  </si>
  <si>
    <t>正常交卷保留确认记录；超时或异常交卷另留原因。</t>
  </si>
  <si>
    <t>E-24</t>
  </si>
  <si>
    <t>作答保存与回执</t>
  </si>
  <si>
    <t>持续保存作答，返回持久化确认并提示未同步状态。</t>
  </si>
  <si>
    <t>2.3.4</t>
  </si>
  <si>
    <t>答题存储与恢复策略</t>
  </si>
  <si>
    <t>已确认保存的答案可恢复，失败保存能被考生识别。</t>
  </si>
  <si>
    <t>E-25</t>
  </si>
  <si>
    <t>PC故障恢复与续考</t>
  </si>
  <si>
    <t>针对断电、断网、机器损坏保留答案并支持故障解除后续考。</t>
  </si>
  <si>
    <t>应急预案、设备策略</t>
  </si>
  <si>
    <t>断网、重启、换机等演练可恢复已确认作答，过程留痕。</t>
  </si>
  <si>
    <t>E-26</t>
  </si>
  <si>
    <t>移动端断点续考</t>
  </si>
  <si>
    <t>手机端支持恢复考试状态、已保存答案和作答进度。</t>
  </si>
  <si>
    <t>本地安全存储策略</t>
  </si>
  <si>
    <t>后台切换、网络中断、应用重启等获批场景通过测试。</t>
  </si>
  <si>
    <t>E-27</t>
  </si>
  <si>
    <t>考试过程监控</t>
  </si>
  <si>
    <t>监控在考、异常、交卷等状态与反作弊事件，提供授权处置记录。</t>
  </si>
  <si>
    <t>监考、考务管理员</t>
  </si>
  <si>
    <t>2.3功能概述；2.3.2；2.3.10</t>
  </si>
  <si>
    <t>异常处置制度</t>
  </si>
  <si>
    <t>监控状态与业务记录一致，异常处置不直接篡改答案。</t>
  </si>
  <si>
    <t>E-28</t>
  </si>
  <si>
    <t>异地同步参考</t>
  </si>
  <si>
    <t>支持出差等人员与本地人员同场考试，保持统一时间和身份管控。</t>
  </si>
  <si>
    <t>跨域网络与保密审批</t>
  </si>
  <si>
    <t>仅在网络和保密方案获批后验证异地场景。</t>
  </si>
  <si>
    <t>M-01</t>
  </si>
  <si>
    <t>客观题自动判分</t>
  </si>
  <si>
    <t>考试结束后依据答案及规则自动核算客观题成绩。</t>
  </si>
  <si>
    <t>考试服务、考务</t>
  </si>
  <si>
    <t>2.3.5</t>
  </si>
  <si>
    <t>题型评分规则</t>
  </si>
  <si>
    <t>逐题型核验正确、错误、空答及边界得分。</t>
  </si>
  <si>
    <t>M-02</t>
  </si>
  <si>
    <t>一判双判多判</t>
  </si>
  <si>
    <t>支持一对一、双判和多对一等专家线上判卷。</t>
  </si>
  <si>
    <t>阅卷管理员、专家</t>
  </si>
  <si>
    <t>2.3.5；2.3.17</t>
  </si>
  <si>
    <t>判卷方案</t>
  </si>
  <si>
    <t>按配置生成独立判卷任务并正确汇总。</t>
  </si>
  <si>
    <t>M-03</t>
  </si>
  <si>
    <t>多维阅卷入口</t>
  </si>
  <si>
    <t>支持按试题、考生、试卷等维度组织阅卷。</t>
  </si>
  <si>
    <t>阅卷专家</t>
  </si>
  <si>
    <t>2.3.16</t>
  </si>
  <si>
    <t>阅卷任务模型</t>
  </si>
  <si>
    <t>切换阅卷维度不重复核分或遗漏待评记录。</t>
  </si>
  <si>
    <t>M-04</t>
  </si>
  <si>
    <t>核分规则配置</t>
  </si>
  <si>
    <t>支持权重评分、平均分和去极值平均分等规则。</t>
  </si>
  <si>
    <t>阅卷管理员</t>
  </si>
  <si>
    <t>2.3.15</t>
  </si>
  <si>
    <t>舍入与异常规则</t>
  </si>
  <si>
    <t>权重、极值、精度等口径明确，样例核算一致。</t>
  </si>
  <si>
    <t>M-05</t>
  </si>
  <si>
    <t>评分差值阈值</t>
  </si>
  <si>
    <t>按整卷或试题设置差值阈值，超阈值自动触发仲裁。</t>
  </si>
  <si>
    <t>2.3.14</t>
  </si>
  <si>
    <t>差值定义与阈值</t>
  </si>
  <si>
    <t>覆盖等于阈值、超过阈值及缺失评分等用例。</t>
  </si>
  <si>
    <t>M-06</t>
  </si>
  <si>
    <t>仲裁与退回处理</t>
  </si>
  <si>
    <t>支持退回处理、直接仲裁并保留处理轨迹。</t>
  </si>
  <si>
    <t>仲裁专家、管理员</t>
  </si>
  <si>
    <t>仲裁终结规则</t>
  </si>
  <si>
    <t>触发到结案闭环可追溯，最终分形成规则明确。</t>
  </si>
  <si>
    <t>M-07</t>
  </si>
  <si>
    <t>仲裁人员配置</t>
  </si>
  <si>
    <t>按题设置仲裁人员并支持自定义人数。</t>
  </si>
  <si>
    <t>仲裁专家资源</t>
  </si>
  <si>
    <t>仲裁任务只对所配人员开放，人数变更可追踪。</t>
  </si>
  <si>
    <t>M-08</t>
  </si>
  <si>
    <t>阅卷小组管理</t>
  </si>
  <si>
    <t>支持评分小组配置、组员调整及任务重分配。</t>
  </si>
  <si>
    <t>2.3.17</t>
  </si>
  <si>
    <t>组别、授权</t>
  </si>
  <si>
    <t>调整后待评任务正确迁移，已评记录不丢失。</t>
  </si>
  <si>
    <t>M-09</t>
  </si>
  <si>
    <t>专家随机分配</t>
  </si>
  <si>
    <t>按选择的专家人数进行随机分配，组合不同判分方式。</t>
  </si>
  <si>
    <t>分配与回避规则</t>
  </si>
  <si>
    <t>分配结果满足配置，任务数与答卷数可核对。</t>
  </si>
  <si>
    <t>M-10</t>
  </si>
  <si>
    <t>保密阅卷</t>
  </si>
  <si>
    <t>自主启用保密阅卷，屏蔽考生身份信息。</t>
  </si>
  <si>
    <t>身份屏蔽规则</t>
  </si>
  <si>
    <t>页面、接口及导出均不向普通阅卷人暴露身份。</t>
  </si>
  <si>
    <t>M-11</t>
  </si>
  <si>
    <t>阅卷进度监控</t>
  </si>
  <si>
    <t>按试题、专家和评分组查看判分进度。</t>
  </si>
  <si>
    <t>2.3.18</t>
  </si>
  <si>
    <t>任务统计口径</t>
  </si>
  <si>
    <t>已评、待评、仲裁数量与任务明细一致。</t>
  </si>
  <si>
    <t>M-12</t>
  </si>
  <si>
    <t>阅卷质量效率统计</t>
  </si>
  <si>
    <t>呈现专家判分质量、效率并支持相关环节多维统计。</t>
  </si>
  <si>
    <t>质量评价口径</t>
  </si>
  <si>
    <t>质量和效率指标定义可追溯，不使用未确认评价公式。</t>
  </si>
  <si>
    <t>M-13</t>
  </si>
  <si>
    <t>系统判分结果开放</t>
  </si>
  <si>
    <t>将系统智能判分结果向评分人员开放；不默认扩展为主观题AI评分。</t>
  </si>
  <si>
    <t>2.3.19</t>
  </si>
  <si>
    <t>结果开放范围</t>
  </si>
  <si>
    <t>专家能查看授权范围内系统判分结果及依据。</t>
  </si>
  <si>
    <t>M-14</t>
  </si>
  <si>
    <t>阅卷电子签字</t>
  </si>
  <si>
    <t>专家判分完成后电子签字留痕。</t>
  </si>
  <si>
    <t>签字形式、证书要求</t>
  </si>
  <si>
    <t>签字与人员、时间、评分版本关联，可审计。</t>
  </si>
  <si>
    <t>M-15</t>
  </si>
  <si>
    <t>最终成绩形成</t>
  </si>
  <si>
    <t>汇总客观题、主观题及适用的技能评分，形成可回传的成绩版本。</t>
  </si>
  <si>
    <t>考务、核分人员</t>
  </si>
  <si>
    <t>2.3.5；2.2.11；2.4.6</t>
  </si>
  <si>
    <t>成绩计算与发布规则</t>
  </si>
  <si>
    <t>按确认的权重及发布规则核对总成绩，仲裁未结不误发。</t>
  </si>
  <si>
    <t>A-01</t>
  </si>
  <si>
    <t>命题与计划分析</t>
  </si>
  <si>
    <t>分析命题质量、计划完成情况和任务阶段数据。</t>
  </si>
  <si>
    <t>业务管理人员</t>
  </si>
  <si>
    <t>2.1.11；2.4.8</t>
  </si>
  <si>
    <t>命审日志</t>
  </si>
  <si>
    <t>报表可下钻到任务明细，时间口径一致。</t>
  </si>
  <si>
    <t>A-02</t>
  </si>
  <si>
    <t>专家绩效分析</t>
  </si>
  <si>
    <t>统计专家命题时间、命制量、退回数和通过率等指标。</t>
  </si>
  <si>
    <t>专家管理人员</t>
  </si>
  <si>
    <t>2.1.12</t>
  </si>
  <si>
    <t>专家任务、审核记录</t>
  </si>
  <si>
    <t>指标分母、重提和跨期口径经确认并可复算。</t>
  </si>
  <si>
    <t>A-03</t>
  </si>
  <si>
    <t>题库与组卷分析</t>
  </si>
  <si>
    <t>分析资源结构、使用情况、组卷结果及比重分布。</t>
  </si>
  <si>
    <t>题库、集团管理人员</t>
  </si>
  <si>
    <t>2.2.13；2.4.8</t>
  </si>
  <si>
    <t>题库、试卷数据</t>
  </si>
  <si>
    <t>可按工种、等级、科目、题型、机构等维度汇总。</t>
  </si>
  <si>
    <t>A-04</t>
  </si>
  <si>
    <t>考试与评分分析</t>
  </si>
  <si>
    <t>分析考试、阅卷和评分环节的数据并提供可视化报表。</t>
  </si>
  <si>
    <t>考务、业务管理人员</t>
  </si>
  <si>
    <t>2.3.18；2.4.8</t>
  </si>
  <si>
    <t>考试、阅卷、成绩</t>
  </si>
  <si>
    <t>考试统计能与正式成绩版本对应。</t>
  </si>
  <si>
    <t>A-05</t>
  </si>
  <si>
    <t>试卷与试题质量分析</t>
  </si>
  <si>
    <t>依据考生答题数据评价试卷质量；具体经典测量指标及口径须确认。</t>
  </si>
  <si>
    <t>命审专家、管理人员</t>
  </si>
  <si>
    <t>主要指标2—3；2.3.5</t>
  </si>
  <si>
    <t>测量规程、样本口径</t>
  </si>
  <si>
    <t>报告可追溯样本与公式，样本不足时提示不输出误导结论。</t>
  </si>
  <si>
    <t>A-06</t>
  </si>
  <si>
    <t>考生能力分布分析</t>
  </si>
  <si>
    <t>从答题和成绩数据分析考生能力分布，为业务管理提供参考。</t>
  </si>
  <si>
    <t>答题、知识结构</t>
  </si>
  <si>
    <t>明示样本范围、题型与知识维度，不超出数据支持范围。</t>
  </si>
  <si>
    <t>A-07</t>
  </si>
  <si>
    <t>个人成绩与分析报告</t>
  </si>
  <si>
    <t>交卷后展示可发布成绩、题型及知识结构得分和掌握情况分析。</t>
  </si>
  <si>
    <t>2.3.13</t>
  </si>
  <si>
    <t>成绩发布口径</t>
  </si>
  <si>
    <t>客观题场景可现场出分；主观题未完成时标明待评非最终分。</t>
  </si>
  <si>
    <t>A-08</t>
  </si>
  <si>
    <t>全流程多维统计</t>
  </si>
  <si>
    <t>联通资源、业务、人才、管理数据，覆盖命题至评分的统计与可视化。</t>
  </si>
  <si>
    <t>集团、机构管理人员</t>
  </si>
  <si>
    <t>主要指标3；2.4.8</t>
  </si>
  <si>
    <t>统一指标字典</t>
  </si>
  <si>
    <t>报表维度和权限经确认，汇总数可与来源系统对账。</t>
  </si>
  <si>
    <t>A-09</t>
  </si>
  <si>
    <t>考试数据归档下载</t>
  </si>
  <si>
    <t>归档考试数据并按权限下载，关联试卷、作答、评分与核验记录。</t>
  </si>
  <si>
    <t>2.3.20；2.2.20</t>
  </si>
  <si>
    <t>档案目录、保管期限</t>
  </si>
  <si>
    <t>归档可校验完整性、重现考试内容，下载留痕。</t>
  </si>
  <si>
    <t>I-01</t>
  </si>
  <si>
    <t>人社题库开发对接</t>
  </si>
  <si>
    <t>对接人社部题库开发相关业务数据，支持获授权范围内资源交互。</t>
  </si>
  <si>
    <t>系统集成人员</t>
  </si>
  <si>
    <t>主要指标5；2.4.1</t>
  </si>
  <si>
    <t>人社接口、资源授权</t>
  </si>
  <si>
    <t>按正式接口和授权清单联调；模拟接口不等同完成外部验收。</t>
  </si>
  <si>
    <t>I-02</t>
  </si>
  <si>
    <t>人社题库管理与共享</t>
  </si>
  <si>
    <t>对接人社题库管理，实现公开题库资源双向共享与一次录入、多方共用。</t>
  </si>
  <si>
    <t>题库管理员、集成人员</t>
  </si>
  <si>
    <t>接口文档、网络审批</t>
  </si>
  <si>
    <t>方向、字段、版本和共享范围可核对，未授权资源不外发。</t>
  </si>
  <si>
    <t>I-03</t>
  </si>
  <si>
    <t>员工信息同步</t>
  </si>
  <si>
    <t>与集团HR字段级映射姓名、身份证号、工种代码和当前技能等级等。</t>
  </si>
  <si>
    <t>集成、人员管理员</t>
  </si>
  <si>
    <t>2.4.3</t>
  </si>
  <si>
    <t>HR接口、主键和增量机制</t>
  </si>
  <si>
    <t>自动同步并处理新增变更，同步前后字段值一致。</t>
  </si>
  <si>
    <t>I-04</t>
  </si>
  <si>
    <t>考务信息流程联动</t>
  </si>
  <si>
    <t>对接考试计划、考场、监考人员，并按流程生成对应试题任务。</t>
  </si>
  <si>
    <t>集成、考务管理员</t>
  </si>
  <si>
    <t>2.4.4</t>
  </si>
  <si>
    <t>原考务流程与接口</t>
  </si>
  <si>
    <t>计划变更、取消及重复消息有明确一致性处理。</t>
  </si>
  <si>
    <t>I-05</t>
  </si>
  <si>
    <t>机考试卷配发对接</t>
  </si>
  <si>
    <t>向无纸化考试配发试卷，支持考生计算机考试。</t>
  </si>
  <si>
    <t>集成、试卷管理员</t>
  </si>
  <si>
    <t>2.4.5</t>
  </si>
  <si>
    <t>考试运行接口</t>
  </si>
  <si>
    <t>接收回执、版本和考生场次一致。</t>
  </si>
  <si>
    <t>I-06</t>
  </si>
  <si>
    <t>传统考试试卷配发</t>
  </si>
  <si>
    <t>提供授权下载和打印试卷，支撑现场传统考试。</t>
  </si>
  <si>
    <t>机构考务、试卷管理员</t>
  </si>
  <si>
    <t>打印、保密审批流程</t>
  </si>
  <si>
    <t>下载、打印内容与配发版本一致，过程可追溯。</t>
  </si>
  <si>
    <t>I-07</t>
  </si>
  <si>
    <t>成绩自动回传</t>
  </si>
  <si>
    <t>将客观题、主观题核分及总成绩自动回传集团认定系统。</t>
  </si>
  <si>
    <t>集成、成绩管理员</t>
  </si>
  <si>
    <t>2.4.6</t>
  </si>
  <si>
    <t>认定系统接收接口</t>
  </si>
  <si>
    <t>回执及对账一致；重试不会产生重复或错版成绩。</t>
  </si>
  <si>
    <t>I-08</t>
  </si>
  <si>
    <t>原系统全面融合</t>
  </si>
  <si>
    <t>集成新建子系统与原系统，统一操作、互通数据且不影响现有业务。</t>
  </si>
  <si>
    <t>系统管理员、业务人员</t>
  </si>
  <si>
    <t>2.4.2；2.4.7</t>
  </si>
  <si>
    <t>原系统架构、供应商协同</t>
  </si>
  <si>
    <t>新旧系统主流程回归通过，切换与回退有记录。</t>
  </si>
  <si>
    <t>I-09</t>
  </si>
  <si>
    <t>开放API与HR/OA扩展</t>
  </si>
  <si>
    <t>提供开放API体系，支持与HR、OA等第三方系统集成。</t>
  </si>
  <si>
    <t>2.4.9；5.1</t>
  </si>
  <si>
    <t>第三方实际接口范围</t>
  </si>
  <si>
    <t>接口目录、鉴权、错误码及调用样例齐备。</t>
  </si>
  <si>
    <t>I-10</t>
  </si>
  <si>
    <t>接口幂等重试与对账</t>
  </si>
  <si>
    <t>为同步和回传建立业务幂等键、重试队列、失败补偿及对账台账。</t>
  </si>
  <si>
    <t>集成管理员</t>
  </si>
  <si>
    <t>2.4.3—7</t>
  </si>
  <si>
    <t>接口契约、主责系统</t>
  </si>
  <si>
    <t>重复、乱序、超时与回执丢失用例不造成重复数据。</t>
  </si>
  <si>
    <t>I-11</t>
  </si>
  <si>
    <t>编码映射与同步审计</t>
  </si>
  <si>
    <t>维护人员、机构、工种、场次和资源编码映射，记录接口同步状态。</t>
  </si>
  <si>
    <t>编码字典、字段映射</t>
  </si>
  <si>
    <t>双向映射可追溯，异常可定位到业务对象且敏感内容脱敏。</t>
  </si>
  <si>
    <t>S-01</t>
  </si>
  <si>
    <t>身份认证与会话控制</t>
  </si>
  <si>
    <t>采用认证机制保护命审及考试入口；具体认证方案按甲方体系接入。</t>
  </si>
  <si>
    <t>全体用户、管理员</t>
  </si>
  <si>
    <t>2.1总述；2.1.15—16</t>
  </si>
  <si>
    <t>甲方身份认证体系</t>
  </si>
  <si>
    <t>未登录、会话失效和越权请求被阻断。</t>
  </si>
  <si>
    <t>S-02</t>
  </si>
  <si>
    <t>传输加密</t>
  </si>
  <si>
    <t>对系统访问及数据交换采用加密通道和数据加密传输。</t>
  </si>
  <si>
    <t>安全管理员</t>
  </si>
  <si>
    <t>2.2.2；2.1.15</t>
  </si>
  <si>
    <t>密码方案、网络环境</t>
  </si>
  <si>
    <t>按获批加密方案验证通道、证书和敏感字段处理。</t>
  </si>
  <si>
    <t>S-03</t>
  </si>
  <si>
    <t>试题加密存储</t>
  </si>
  <si>
    <t>对试题内容加密存储，降低数据库泄露造成的试题外泄风险。</t>
  </si>
  <si>
    <t>2.2.14；2.1.15</t>
  </si>
  <si>
    <t>加密组件、密钥管理</t>
  </si>
  <si>
    <t>直接访问存储介质不能得到可读试题明文。</t>
  </si>
  <si>
    <t>S-04</t>
  </si>
  <si>
    <t>密钥独立管理</t>
  </si>
  <si>
    <t>将密钥与业务数据、备份分离，支持授权使用、轮换和恢复审计。</t>
  </si>
  <si>
    <t>2.1.15；2.2.14</t>
  </si>
  <si>
    <t>获批密钥设施</t>
  </si>
  <si>
    <t>密钥不写入源码、普通日志或数据库同份备份。</t>
  </si>
  <si>
    <t>S-05</t>
  </si>
  <si>
    <t>业务审计与追溯</t>
  </si>
  <si>
    <t>留存命审、题库、考试、评分、导出及关键管理操作日志。</t>
  </si>
  <si>
    <t>审计管理员</t>
  </si>
  <si>
    <t>2.1.8、10；2.2.10、17；2.3.18—20</t>
  </si>
  <si>
    <t>留存、审计权限</t>
  </si>
  <si>
    <t>可按人、对象、时间检索，日志不直接泄露答案或生物信息。</t>
  </si>
  <si>
    <t>S-06</t>
  </si>
  <si>
    <t>敏感导出与文件管控</t>
  </si>
  <si>
    <t>对试卷、题库和考试档案下载执行授权、审批或水印等保密控制。</t>
  </si>
  <si>
    <t>授权业务人员、安全管理员</t>
  </si>
  <si>
    <t>2.2.10；2.3.20；安全及保密要求</t>
  </si>
  <si>
    <t>甲方导出制度</t>
  </si>
  <si>
    <t>获批导出策略生效，下载对象、版本和操作者可追溯。</t>
  </si>
  <si>
    <t>S-07</t>
  </si>
  <si>
    <t>备份恢复与容灾</t>
  </si>
  <si>
    <t>建立应用、业务数据、文件、配置和密钥的恢复方案，定期演练。</t>
  </si>
  <si>
    <t>甲方运维人员</t>
  </si>
  <si>
    <t>5.6；5.9—10；阶段五交付要求</t>
  </si>
  <si>
    <t>备份设施、恢复目标</t>
  </si>
  <si>
    <t>按确认RPO/RTO实测恢复；答案、评分和资源版本保持一致。</t>
  </si>
  <si>
    <t>S-08</t>
  </si>
  <si>
    <t>负载均衡与集群</t>
  </si>
  <si>
    <t>应用无状态扩展，关键业务采用负载均衡与集群部署保障高可用。</t>
  </si>
  <si>
    <t>5.3—4；5.9</t>
  </si>
  <si>
    <t>甲方服务器与网络</t>
  </si>
  <si>
    <t>节点故障和高并发压测中验证服务与数据一致性。</t>
  </si>
  <si>
    <t>S-09</t>
  </si>
  <si>
    <t>运行监测与告警</t>
  </si>
  <si>
    <t>监测考试成功率、答案写入、接口积压、服务状态及资源容量。</t>
  </si>
  <si>
    <t>5.3—10；6.4</t>
  </si>
  <si>
    <t>内网监测告警设施</t>
  </si>
  <si>
    <t>异常能在甲方内网形成告警，不安装远程维护通信模块。</t>
  </si>
  <si>
    <t>S-10</t>
  </si>
  <si>
    <t>配置与发布控制</t>
  </si>
  <si>
    <t>管理配置版本、部署包、数据库脚本及回退方案，支撑甲方编译测试部署。</t>
  </si>
  <si>
    <t>甲方运维、乙方开发</t>
  </si>
  <si>
    <t>6.5；9.5—6</t>
  </si>
  <si>
    <t>甲方工具链与发布流程</t>
  </si>
  <si>
    <t>甲方用交付源码和依赖可按步骤构建，模拟数据验证完成。</t>
  </si>
  <si>
    <t>非功能与实施交付约束｜31项</t>
  </si>
  <si>
    <t>包含国产适配、保密测评、性能、永久授权、商业许可、500本正版电子书、人员、交付和真实数据隔离等要求。</t>
  </si>
  <si>
    <t>约束编号</t>
  </si>
  <si>
    <t>要求主题</t>
  </si>
  <si>
    <t>规划处理（建议）</t>
  </si>
  <si>
    <t>建议验收证据</t>
  </si>
  <si>
    <t>控制节点</t>
  </si>
  <si>
    <t>确认状态</t>
  </si>
  <si>
    <t>负责人/备注</t>
  </si>
  <si>
    <t>N-01</t>
  </si>
  <si>
    <t>命题规程与测量依据</t>
  </si>
  <si>
    <t>全面符合人社部命题技术规程及集团题库开发管理办法，基于经典测量学理论。</t>
  </si>
  <si>
    <t>获取受控版本；建立条款—流程—题型—指标映射。当前附件未提供这两份规范正文。</t>
  </si>
  <si>
    <t>提供规范版本、逐项映射及业务专家评审记录。</t>
  </si>
  <si>
    <t>主要指标2</t>
  </si>
  <si>
    <t>需求基线</t>
  </si>
  <si>
    <t>待确认</t>
  </si>
  <si>
    <t>N-02</t>
  </si>
  <si>
    <t>理论与技能开发独立部署</t>
  </si>
  <si>
    <t>理论题库开发和技能题库开发可独立部署、协同运行。</t>
  </si>
  <si>
    <t>同一工程规范下分别打包、发布和授权；共享基础能力通过接口接入。</t>
  </si>
  <si>
    <t>分别停启和部署两子系统，验证独立运行和协同入库。</t>
  </si>
  <si>
    <t>2.1.1</t>
  </si>
  <si>
    <t>架构验证</t>
  </si>
  <si>
    <t>N-03</t>
  </si>
  <si>
    <t>安全保密测评</t>
  </si>
  <si>
    <t>支持信息安全体系和等级保护管理，符合安全保密规范，并通过授权机构安全保密测评。</t>
  </si>
  <si>
    <t>测评机构、定级/密级、范围及整改边界待甲方确认；不把等保测评替代保密测评。</t>
  </si>
  <si>
    <t>对应范围的正式测评报告及整改闭环。</t>
  </si>
  <si>
    <t>安全及保密功能★</t>
  </si>
  <si>
    <t>方案审批</t>
  </si>
  <si>
    <t>N-04</t>
  </si>
  <si>
    <t>国产化与自主知识产权</t>
  </si>
  <si>
    <t>国产化软件、完全自主知识产权。</t>
  </si>
  <si>
    <t>列明自研、第三方组件及授权权属；与甲方软件著作权归属统筹确认。</t>
  </si>
  <si>
    <t>源代码、权属和授权材料；外部依赖清单。</t>
  </si>
  <si>
    <t>4.1★；9.4；9.7</t>
  </si>
  <si>
    <t>选型前置</t>
  </si>
  <si>
    <t>N-05</t>
  </si>
  <si>
    <t>终端与浏览器兼容</t>
  </si>
  <si>
    <t>支持国产终端、国产浏览器，客户端支持IE8及以上版本兼容浏览器。</t>
  </si>
  <si>
    <t>冻结真实终端矩阵，区分管理入口、普通答题与强防舞弊端能力。</t>
  </si>
  <si>
    <t>每种约定组合的测试记录；例外须书面处理，不默认删除IE8要求。</t>
  </si>
  <si>
    <t>4.3</t>
  </si>
  <si>
    <t>原型验证</t>
  </si>
  <si>
    <t>N-06</t>
  </si>
  <si>
    <t>多平台兼容</t>
  </si>
  <si>
    <t>支持协议列举的WINDOWS、Linux、HP UX、IBM AIX、SUN SOLARIS及32/64位等平台。</t>
  </si>
  <si>
    <t>按交付设备禁用Windows条款核实可用操作系统；不把平台举例直接当生产选型。</t>
  </si>
  <si>
    <t>兼容矩阵及逐项证据，冲突处取得甲方书面澄清。</t>
  </si>
  <si>
    <t>4.6—7；9.3★</t>
  </si>
  <si>
    <t>N-07</t>
  </si>
  <si>
    <t>数据库与中间件适配</t>
  </si>
  <si>
    <t>支持常见数据库与应用服务器；支持协议列举国产数据库、中间件、服务器及操作系统。</t>
  </si>
  <si>
    <t>以甲方清单冻结一期生产组合及其他兼容范围，提供第三方报告或案例证据。</t>
  </si>
  <si>
    <t>覆盖Oracle、DB2、SQL Server、Tomcat、Web Sphere及约定国产组合的确认材料。</t>
  </si>
  <si>
    <t>4.2；4.7—8</t>
  </si>
  <si>
    <t>N-08</t>
  </si>
  <si>
    <t>纯国产虚拟部署</t>
  </si>
  <si>
    <t>支持纯国产环境虚拟部署，并适配甲方网络和服务器。</t>
  </si>
  <si>
    <t>优先甲方现有虚拟机体系，容器化非强制前置。</t>
  </si>
  <si>
    <t>在获批国产虚拟化环境完成部署及故障演练。</t>
  </si>
  <si>
    <t>4.6；4.9</t>
  </si>
  <si>
    <t>部署验证</t>
  </si>
  <si>
    <t>N-09</t>
  </si>
  <si>
    <t>永久不限点授权</t>
  </si>
  <si>
    <t>无用户点数和并发数限制，永久授权，扩展服务器不额外收费。</t>
  </si>
  <si>
    <t>区分软件授权限制与硬件容量；配套组件许可同步核查。</t>
  </si>
  <si>
    <t>合同授权证明、扩容演示及费用边界确认。</t>
  </si>
  <si>
    <t>4.4—5</t>
  </si>
  <si>
    <t>合同与验收</t>
  </si>
  <si>
    <t>N-10</t>
  </si>
  <si>
    <t>第三方商业软件</t>
  </si>
  <si>
    <t>必需第三方软件由乙方免费提供，要求商用企业版本；纠纷乙方负责。</t>
  </si>
  <si>
    <t>形成依赖、许可、期限、CPU/节点限制和著作权清单；不得默认社区版合规。</t>
  </si>
  <si>
    <t>商用授权文件与完整许可清单；无甲方额外采购遗漏。</t>
  </si>
  <si>
    <t>5.8</t>
  </si>
  <si>
    <t>N-11</t>
  </si>
  <si>
    <t>2000人并发考试</t>
  </si>
  <si>
    <t>支持2000人以上同时考试；至少支持2000人同时在线访问及考试。</t>
  </si>
  <si>
    <t>按在线会话、活跃请求、开考和交卷峰值分别建模；500+不是替代口径。</t>
  </si>
  <si>
    <t>2000人基准及双方确认的“以上”扩展档位实测报告。</t>
  </si>
  <si>
    <t>2.3.1；5.4</t>
  </si>
  <si>
    <t>性能测试</t>
  </si>
  <si>
    <t>N-12</t>
  </si>
  <si>
    <t>操作平均响应</t>
  </si>
  <si>
    <t>最低国产服务器配置、网络延迟小于2ms时，功能操作平均响应不大于1秒。</t>
  </si>
  <si>
    <t>最低配置、延迟测量点、样本和操作集需先冻结。</t>
  </si>
  <si>
    <t>报告列明硬件、网络、数据量、负载和平均值；另报分位值但不替代合同平均值。</t>
  </si>
  <si>
    <t>5.5</t>
  </si>
  <si>
    <t>性能方案</t>
  </si>
  <si>
    <t>N-13</t>
  </si>
  <si>
    <t>页面与看板性能</t>
  </si>
  <si>
    <t>页面加载不大于1秒，复杂看板不大于2秒，支持500+并发访问。</t>
  </si>
  <si>
    <t>与2000人考试场景分开建用例；明确加载完成定义。</t>
  </si>
  <si>
    <t>在确认数据量和终端网络下分别验证页面和看板。</t>
  </si>
  <si>
    <t>5.7</t>
  </si>
  <si>
    <t>N-14</t>
  </si>
  <si>
    <t>可用率与年故障</t>
  </si>
  <si>
    <t>7×24服务、容灾能力；可用率≥99.9%；平均年故障时间&lt;0.5天。</t>
  </si>
  <si>
    <t>并列保留：99.9%按365天折算年不可用≤8.76小时，仅作解释，实际统计口径待确认。</t>
  </si>
  <si>
    <t>监测报表、故障台账与演练记录；统一计划停机是否计入口径。</t>
  </si>
  <si>
    <t>5.6；5.9</t>
  </si>
  <si>
    <t>试运行及运维</t>
  </si>
  <si>
    <t>N-15</t>
  </si>
  <si>
    <t>故障次数与恢复</t>
  </si>
  <si>
    <t>平均修复≤2小时；连续一年软件不可用≤3次，单次恢复≤4小时。</t>
  </si>
  <si>
    <t>均值、单次最大值和次数分别统计，不合并成宽松单一指标。</t>
  </si>
  <si>
    <t>故障及恢复记录、演练结果；一年考核与24个月节点衔接待确认。</t>
  </si>
  <si>
    <t>5.6；5.10</t>
  </si>
  <si>
    <t>N-16</t>
  </si>
  <si>
    <t>不少于500本中文优质正版电子书，含航空航天、智能制造、工业技术、人文、社科、人力资源等。</t>
  </si>
  <si>
    <t>单列资源采购与导入工作包；授权覆盖内网部署及约定阅读人数。</t>
  </si>
  <si>
    <t>图书目录、去重数量、合法授权及阅读抽检。</t>
  </si>
  <si>
    <t>2.2.18</t>
  </si>
  <si>
    <t>资源交付</t>
  </si>
  <si>
    <t>N-17</t>
  </si>
  <si>
    <t>禁用隐蔽恶意模块</t>
  </si>
  <si>
    <t>不得安装隐蔽设备、模块或恶意软件。</t>
  </si>
  <si>
    <t>交付软件组成、端口和外联清单供甲方审查。</t>
  </si>
  <si>
    <t>成分审计、安装检查和安全检测记录。</t>
  </si>
  <si>
    <t>9.1★</t>
  </si>
  <si>
    <t>安全验收</t>
  </si>
  <si>
    <t>N-18</t>
  </si>
  <si>
    <t>禁用无线与远程维护模块</t>
  </si>
  <si>
    <t>不得安装无线数据传输模块与远程维护通信模块。</t>
  </si>
  <si>
    <t>与移动端、异地考试的设备和网络使用边界一并澄清；不预设公网远程运维。</t>
  </si>
  <si>
    <t>经批准的网络拓扑及设备清单，安装和通信检查。</t>
  </si>
  <si>
    <t>9.2★；2.2.11；2.3.3、6</t>
  </si>
  <si>
    <t>最早前置确认</t>
  </si>
  <si>
    <t>N-19</t>
  </si>
  <si>
    <t>禁用Windows设备环境</t>
  </si>
  <si>
    <t>设备严禁使用Windows8、10、11及以上和其变种操作系统。</t>
  </si>
  <si>
    <t>本次拟交付设备不采用被禁系统，兼容清单不构成例外授权。</t>
  </si>
  <si>
    <t>设备操作系统清单与现场核验；其余可用系统由甲方确认。</t>
  </si>
  <si>
    <t>9.3★；4.7</t>
  </si>
  <si>
    <t>N-20</t>
  </si>
  <si>
    <t>原型开发与甲方构建</t>
  </si>
  <si>
    <t>在公司外基于原型平台开发；完成后由甲方编译、测试、部署。</t>
  </si>
  <si>
    <t>乙方交源码、构建脚本、依赖、模拟数据和部署步骤；由甲方执行真实环境操作。</t>
  </si>
  <si>
    <t>甲方独立构建、部署验证记录及交付包。</t>
  </si>
  <si>
    <t>9.5；6.5</t>
  </si>
  <si>
    <t>全周期</t>
  </si>
  <si>
    <t>N-21</t>
  </si>
  <si>
    <t>真实数据隔离</t>
  </si>
  <si>
    <t>乙方不得接触甲方真实数据；开发、测试、实施基于模拟数据。</t>
  </si>
  <si>
    <t>构建合成数据；甲方执行真实数据迁移和核验，仅反馈脱敏问题或模拟复现。</t>
  </si>
  <si>
    <t>访问权限审查、数据来源说明、合成样例与操作记录。</t>
  </si>
  <si>
    <t>9.6</t>
  </si>
  <si>
    <t>N-22</t>
  </si>
  <si>
    <t>软件著作权归甲方</t>
  </si>
  <si>
    <t>软件著作权归甲方所有，符合正版化与保密要求。</t>
  </si>
  <si>
    <t>确认本项目成果、既有原型、第三方组件的权属边界，避免许可与转让冲突。</t>
  </si>
  <si>
    <t>源码交接、著作权归属及合法授权证明。</t>
  </si>
  <si>
    <t>9.4；9.7；4.1★</t>
  </si>
  <si>
    <t>N-23</t>
  </si>
  <si>
    <t>项目实施管理</t>
  </si>
  <si>
    <t>明确范围和开发实施清单，周例会、风险评估，软件工程各阶段文档齐全。</t>
  </si>
  <si>
    <t>需求、设计、开发、测试、上线均设置评审和变更基线。</t>
  </si>
  <si>
    <t>周报、风险台账、清单、评审及变更记录。</t>
  </si>
  <si>
    <t>6.1—5</t>
  </si>
  <si>
    <t>N-24</t>
  </si>
  <si>
    <t>驻厂人数与稳定性</t>
  </si>
  <si>
    <t>驻厂团队≥3人、常驻≥2人；延误风险时可提供≥5人；保持人员稳定。</t>
  </si>
  <si>
    <t>按现场、公司外原型开发职责分工，不把最低驻厂人数当总研发配置。</t>
  </si>
  <si>
    <t>人员台账、驻场记录、交接材料及资源补充计划。</t>
  </si>
  <si>
    <t>7.1★；7.2</t>
  </si>
  <si>
    <t>资源计划</t>
  </si>
  <si>
    <t>N-25</t>
  </si>
  <si>
    <t>项目经理及人员资质</t>
  </si>
  <si>
    <t>经理具相关经验、2—3个实施案例和PMP；团队正式员工、本科以上、经验及社保满一年。</t>
  </si>
  <si>
    <t>提交角色、履历、证书、社保和保密承诺材料。</t>
  </si>
  <si>
    <t>人员资质文件及甲方审核记录。</t>
  </si>
  <si>
    <t>7.3—4</t>
  </si>
  <si>
    <t>进场前</t>
  </si>
  <si>
    <t>N-26</t>
  </si>
  <si>
    <t>人员与服务合规</t>
  </si>
  <si>
    <t>不得转包、原则不分包；考核不合格书面通知后3日内同等数量及不低资质替换。</t>
  </si>
  <si>
    <t>建立人员替换和知识交接预案，采购电子书/软件许可不自动等于可分包开发。</t>
  </si>
  <si>
    <t>人员考核、替换与交接资料。</t>
  </si>
  <si>
    <t>7.5；7.6★</t>
  </si>
  <si>
    <t>N-27</t>
  </si>
  <si>
    <t>保密及入厂纪律</t>
  </si>
  <si>
    <t>签订保密协议、提交保密承诺，遵守甲方保密及考勤要求。</t>
  </si>
  <si>
    <t>人员权限、介质、文档和样例均按甲方管理制度处理。</t>
  </si>
  <si>
    <t>协议、培训、授权与入厂记录。</t>
  </si>
  <si>
    <t>7.4；7.7—8</t>
  </si>
  <si>
    <t>进场前及全周期</t>
  </si>
  <si>
    <t>N-28</t>
  </si>
  <si>
    <t>24个月与启动节点</t>
  </si>
  <si>
    <t>24个月五阶段；合同后3工作日启动，启动后1个月调研报告，评审通过后1个月实施方案。</t>
  </si>
  <si>
    <t>按原文相对事件计算节点；M1—M24图仅作连续排期示意。</t>
  </si>
  <si>
    <t>经双方批准的计划及节点评审记录。</t>
  </si>
  <si>
    <t>实施节点要求阶段一</t>
  </si>
  <si>
    <t>立项</t>
  </si>
  <si>
    <t>N-29</t>
  </si>
  <si>
    <t>开发测试与缺陷时限</t>
  </si>
  <si>
    <t>方案确认后10个月完成开发部署；开发后5工作日移交测试；严重及一般缺陷5工作日修复回归。</t>
  </si>
  <si>
    <t>明确完成标准与缺陷等级，测试问题闭环不以口头确认替代。</t>
  </si>
  <si>
    <t>部署交接、测试问题记录及回归证据。</t>
  </si>
  <si>
    <t>实施节点要求阶段二、三</t>
  </si>
  <si>
    <t>开发测试</t>
  </si>
  <si>
    <t>N-30</t>
  </si>
  <si>
    <t>试运行培训与最终交付</t>
  </si>
  <si>
    <t>测试培训3个月、试运行6个月、验收3个月；试运行无重大故障、性能达标，交全套文档和源码。</t>
  </si>
  <si>
    <t>提交用户/管理员手册、应急预案、总结、测试培训及试运行材料。</t>
  </si>
  <si>
    <t>正式验收清单、全部归档及签署项目总结报告。</t>
  </si>
  <si>
    <t>实施节点要求阶段三—五</t>
  </si>
  <si>
    <t>验收</t>
  </si>
  <si>
    <t>N-31</t>
  </si>
  <si>
    <t>开放扩展与标准化</t>
  </si>
  <si>
    <t>题库设计标准化、模块化、简易化、集成化；系统开放并支持功能升级扩展。</t>
  </si>
  <si>
    <t>接口与题型插件采用版本管理；业务模块可增加、修改，数据交换不绑定单一页面实现。</t>
  </si>
  <si>
    <t>模块扩展、接口互通及兼容回归演示。</t>
  </si>
  <si>
    <t>2.2.1；5.1—2</t>
  </si>
  <si>
    <t>架构及验收</t>
  </si>
  <si>
    <t>前置决策与待确认事项｜16项</t>
  </si>
  <si>
    <t>任何范围、安全例外、费用或进度变化须书面确认；保留协议要求，不用待确认状态自动降级交付。</t>
  </si>
  <si>
    <t>议题编号</t>
  </si>
  <si>
    <t>影响与风险</t>
  </si>
  <si>
    <t>需形成的决策</t>
  </si>
  <si>
    <t>建议责任方</t>
  </si>
  <si>
    <t>状态</t>
  </si>
  <si>
    <t>确认结论/日期</t>
  </si>
  <si>
    <t>Q-01</t>
  </si>
  <si>
    <t>系统定级、密级与测评范围</t>
  </si>
  <si>
    <t>影响部署边界、终端、人脸、接口、密码和验收，不宜用一般等保结论替代保密测评。</t>
  </si>
  <si>
    <t>甲方明确等级/密级、目标测评机构和纳入测评的软硬件范围。</t>
  </si>
  <si>
    <t>甲方保密/网安部门</t>
  </si>
  <si>
    <t>Q-02</t>
  </si>
  <si>
    <t>移动、异地与禁无线模块</t>
  </si>
  <si>
    <t>手机/平板、移动评分、异地参考与设备禁无线模块存在适用范围待澄清。</t>
  </si>
  <si>
    <t>书面确认条款作用对象、可用设备、网络与审批方式；未获批不启用移动外联。</t>
  </si>
  <si>
    <t>甲方保密/网安/业务部门</t>
  </si>
  <si>
    <t>2.2.11；2.3.3、6；9.2★</t>
  </si>
  <si>
    <t>Q-03</t>
  </si>
  <si>
    <t>IE8兼容与强防舞弊</t>
  </si>
  <si>
    <t>协议同时要求旧浏览器兼容与多端强防舞弊，不能仅凭Web页面承诺端侧能力。</t>
  </si>
  <si>
    <t>建立端/系统/浏览器/能力矩阵，先做原型验证；差异须书面澄清或变更。</t>
  </si>
  <si>
    <t>甲方技术部门、乙方架构组</t>
  </si>
  <si>
    <t>4.3；2.3.10—11</t>
  </si>
  <si>
    <t>Q-04</t>
  </si>
  <si>
    <t>操作系统与平台清单</t>
  </si>
  <si>
    <t>平台兼容条款列WINDOWS等，交付设备又禁止Windows8/10/11及以上。</t>
  </si>
  <si>
    <t>冻结实际生产组合及兼容证明范围，确认终端输入法可用组合。</t>
  </si>
  <si>
    <t>甲方基础设施部门</t>
  </si>
  <si>
    <t>4.6—8；9.3★；2.3.8</t>
  </si>
  <si>
    <t>Q-05</t>
  </si>
  <si>
    <t>人社接口实际可用性</t>
  </si>
  <si>
    <t>协议要求双向共享，但未附端点、字段、授权、速率、开放方式或验收标准。</t>
  </si>
  <si>
    <t>提供正式接口文档、授权和网络条件；共同确认真实联调计划。</t>
  </si>
  <si>
    <t>甲方、人社接口责任方</t>
  </si>
  <si>
    <t>Q-06</t>
  </si>
  <si>
    <t>公安接口与人脸授权</t>
  </si>
  <si>
    <t>未明确身份底库、公安接口资质、人脸比对方式、阈值和保存期限。</t>
  </si>
  <si>
    <t>确认合法授权、数据流、核验来源、人工复核和删除规则。</t>
  </si>
  <si>
    <t>甲方保密/法务/业务部门</t>
  </si>
  <si>
    <t>Q-07</t>
  </si>
  <si>
    <t>原系统与新增系统主责</t>
  </si>
  <si>
    <t>缺少原系统架构、身份接口、数据字典和供应商协作边界。</t>
  </si>
  <si>
    <t>明确员工、组织、考试计划、考生名单、成绩的主责系统及同步方向。</t>
  </si>
  <si>
    <t>甲方、原系统及HR供应方</t>
  </si>
  <si>
    <t>2.1.14；2.4.2—7</t>
  </si>
  <si>
    <t>Q-08</t>
  </si>
  <si>
    <t>题型与命题规程正文</t>
  </si>
  <si>
    <t>只给出10余种及部分示例，未附全部题型、国家规程和集团办法。</t>
  </si>
  <si>
    <t>确认规范受控版本、完整题型字段、题库分类与任务特批规则。</t>
  </si>
  <si>
    <t>甲方业务、命审专家组</t>
  </si>
  <si>
    <t>主要指标2；2.1.4、13；2.2.3</t>
  </si>
  <si>
    <t>Q-09</t>
  </si>
  <si>
    <t>立即出分与主观阅卷</t>
  </si>
  <si>
    <t>交卷现场成绩报告与双判、多判、仲裁并存，最终分形成时点需界定。</t>
  </si>
  <si>
    <t>纯客观题现场出最终分；混合卷先显示已判结果与待评状态，最终发布规则书面确认。</t>
  </si>
  <si>
    <t>甲方考务与业务部门</t>
  </si>
  <si>
    <t>2.3.5；2.3.13—17</t>
  </si>
  <si>
    <t>Q-10</t>
  </si>
  <si>
    <t>数据留存与灾备目标</t>
  </si>
  <si>
    <t>未给出答案保存频率、RPO/RTO、备份留存和考试证据保存期。</t>
  </si>
  <si>
    <t>冻结保存回执语义、恢复目标、密钥恢复、证据和日志保留期限。</t>
  </si>
  <si>
    <t>甲方业务/运维/保密部门</t>
  </si>
  <si>
    <t>2.3.4、20；5.6、9—10</t>
  </si>
  <si>
    <t>Q-11</t>
  </si>
  <si>
    <t>性能验收口径</t>
  </si>
  <si>
    <t>500+和2000+并存；最低国产服务器配置、网络测点与一年考核窗口未定义。</t>
  </si>
  <si>
    <t>分别确认考试与管理压测场景、扩展档位、数据量、时延测点和可用率统计口径。</t>
  </si>
  <si>
    <t>甲方技术、测试与运维部门</t>
  </si>
  <si>
    <t>2.3.1；5.4—7；5.9—10</t>
  </si>
  <si>
    <t>Q-12</t>
  </si>
  <si>
    <t>权属与商业许可</t>
  </si>
  <si>
    <t>自研自主知识产权、甲方著作权及第三方商用企业版可能存在授权边界。</t>
  </si>
  <si>
    <t>确认既有原型、定制代码、第三方组件及电子书的权利归属、许可期限和扩容限制。</t>
  </si>
  <si>
    <t>甲方法务/采购、乙方</t>
  </si>
  <si>
    <t>4.1、4—5；5.8；9.4、7；2.2.18</t>
  </si>
  <si>
    <t>Q-13</t>
  </si>
  <si>
    <t>驻厂与外部原型开发边界</t>
  </si>
  <si>
    <t>驻厂开发实施与公司外原型开发、甲方编译部署和不接触真实数据需联合执行。</t>
  </si>
  <si>
    <t>确认现场人员职责、隔离区、模拟数据使用、构建交付和真实数据问题复现方式。</t>
  </si>
  <si>
    <t>甲方项目组、乙方项目组</t>
  </si>
  <si>
    <t>7.1★；9.5—6</t>
  </si>
  <si>
    <t>Q-14</t>
  </si>
  <si>
    <t>历史迁移与纸质归集</t>
  </si>
  <si>
    <t>现有数据规模、质量、附件形态及纸质试卷电子化方式未说明。</t>
  </si>
  <si>
    <t>给出统计级规模和合成样本，甲方确定扫描/上传规则及迁移对账标准。</t>
  </si>
  <si>
    <t>甲方业务/档案/技术部门</t>
  </si>
  <si>
    <t>2.1.16；2.2.5、20；2.4.7</t>
  </si>
  <si>
    <t>Q-15</t>
  </si>
  <si>
    <t>组卷与核分细则</t>
  </si>
  <si>
    <t>未给出1+X+Y比重、AB重复率分母、去极值人数、分数舍入和仲裁终结规则。</t>
  </si>
  <si>
    <t>以样卷和评分实例冻结规则，形成可执行验收样例。</t>
  </si>
  <si>
    <t>甲方专家组、考务部门</t>
  </si>
  <si>
    <t>2.2.7—9、15；2.3.14—15</t>
  </si>
  <si>
    <t>Q-16</t>
  </si>
  <si>
    <t>一次性验收与一年稳定性观察</t>
  </si>
  <si>
    <t>24个月五阶段含6个月试运行，但合同还要求连续一年故障次数考核。</t>
  </si>
  <si>
    <t>确认一年统计起点、验收时已有证据和后续运行考核的责任衔接，不提前声称一年指标通过。</t>
  </si>
  <si>
    <t>甲方项目/采购/运维部门</t>
  </si>
  <si>
    <t>5.6、9—10；实施节点要求</t>
  </si>
  <si>
    <t>协议条款追溯矩阵｜117项</t>
  </si>
  <si>
    <t>覆盖条目包括编号条款及总述/阶段条目，数量不等同独立合同需求数；“已列入规划”不表示开发完成或验收通过。</t>
  </si>
  <si>
    <t>来源条款/章节</t>
  </si>
  <si>
    <t>要求摘要</t>
  </si>
  <si>
    <t>对应功能/约束编号</t>
  </si>
  <si>
    <t>规划章节</t>
  </si>
  <si>
    <t>覆盖状态</t>
  </si>
  <si>
    <t>详细设计/测试证据</t>
  </si>
  <si>
    <t>主要指标★1</t>
  </si>
  <si>
    <t>既有系统升级与三大业务系统</t>
  </si>
  <si>
    <t>G-01；D-01—22；B-01—27；E-01—28</t>
  </si>
  <si>
    <t>功能清单/非功能约束</t>
  </si>
  <si>
    <t>已列入规划；待评审验收</t>
  </si>
  <si>
    <t>主要指标★2</t>
  </si>
  <si>
    <t>规程、办法与经典测量学</t>
  </si>
  <si>
    <t>N-01；A-05</t>
  </si>
  <si>
    <t>主要指标★3</t>
  </si>
  <si>
    <t>测评信度效度与多维统计</t>
  </si>
  <si>
    <t>B-08—16；E-06—20；A-01—08</t>
  </si>
  <si>
    <t>主要指标★4</t>
  </si>
  <si>
    <t>业务端到端与统一工作台</t>
  </si>
  <si>
    <t>G-01；I-08</t>
  </si>
  <si>
    <t>主要指标★5</t>
  </si>
  <si>
    <t>人社双向资源共享</t>
  </si>
  <si>
    <t>I-01—02</t>
  </si>
  <si>
    <t>功能概述</t>
  </si>
  <si>
    <t>题库、考试、原考务一体化</t>
  </si>
  <si>
    <t>独立部署与协同</t>
  </si>
  <si>
    <t>2.1.2</t>
  </si>
  <si>
    <t>工种等级与科目层级</t>
  </si>
  <si>
    <t>G-06—07</t>
  </si>
  <si>
    <t>计划、专家匹配及流程</t>
  </si>
  <si>
    <t>D-02—04；D-17</t>
  </si>
  <si>
    <t>2.1.4</t>
  </si>
  <si>
    <t>专家共建与10余种题型</t>
  </si>
  <si>
    <t>D-05—08</t>
  </si>
  <si>
    <t>2.1.6</t>
  </si>
  <si>
    <t>专家信息任务权限工作量</t>
  </si>
  <si>
    <t>G-09—11；D-03</t>
  </si>
  <si>
    <t>内容查重与去重</t>
  </si>
  <si>
    <t>D-10—11</t>
  </si>
  <si>
    <t>初审复审终审与日志</t>
  </si>
  <si>
    <t>D-12—14；D-20</t>
  </si>
  <si>
    <t>修订并重新审核</t>
  </si>
  <si>
    <t>2.1.10</t>
  </si>
  <si>
    <t>进度与生命周期日志</t>
  </si>
  <si>
    <t>D-19—20</t>
  </si>
  <si>
    <t>2.1.11</t>
  </si>
  <si>
    <t>命题统计报表导出</t>
  </si>
  <si>
    <t>D-22；A-01</t>
  </si>
  <si>
    <t>管理端核心功能与专家绩效</t>
  </si>
  <si>
    <t>G-07；G-09—12；D-19、21；A-02</t>
  </si>
  <si>
    <t>专家端任务特批终审入库等</t>
  </si>
  <si>
    <t>D-05—09；D-12—17；D-20—21</t>
  </si>
  <si>
    <t>2.1.14</t>
  </si>
  <si>
    <t>与原认定系统资源同步</t>
  </si>
  <si>
    <t>G-02；I-08</t>
  </si>
  <si>
    <t>2.1.15</t>
  </si>
  <si>
    <t>加密认证保障安全</t>
  </si>
  <si>
    <t>S-01—04</t>
  </si>
  <si>
    <t>2.1.16</t>
  </si>
  <si>
    <t>分层授权历史查询维护</t>
  </si>
  <si>
    <t>G-03—04；G-12；S-05</t>
  </si>
  <si>
    <t>2.2.1</t>
  </si>
  <si>
    <t>标准化模块化简易化集成化</t>
  </si>
  <si>
    <t>2.2.2</t>
  </si>
  <si>
    <t>数据传输加密</t>
  </si>
  <si>
    <t>2.2.3</t>
  </si>
  <si>
    <t>10余种题型及核心模块</t>
  </si>
  <si>
    <t>G-07—08；D-06；B-08—27</t>
  </si>
  <si>
    <t>2.2.4</t>
  </si>
  <si>
    <t>理论库分层与唯一标识</t>
  </si>
  <si>
    <t>Word/Excel导入与校验</t>
  </si>
  <si>
    <t>B-06—07</t>
  </si>
  <si>
    <t>2.2.6</t>
  </si>
  <si>
    <t>固定与随机组卷</t>
  </si>
  <si>
    <t>B-08—10</t>
  </si>
  <si>
    <t>覆盖题型难度与多套卷</t>
  </si>
  <si>
    <t>B-10—11</t>
  </si>
  <si>
    <t>跨科目1+X+Y与AB卷等</t>
  </si>
  <si>
    <t>B-09；B-12—15</t>
  </si>
  <si>
    <t>重复率校验与计划存卷</t>
  </si>
  <si>
    <t>B-14；B-16—17</t>
  </si>
  <si>
    <t>抽取追踪与最终卷下载</t>
  </si>
  <si>
    <t>B-19—20</t>
  </si>
  <si>
    <t>技能题现场评分移动汇总</t>
  </si>
  <si>
    <t>B-21—24</t>
  </si>
  <si>
    <t>技能题批量转移与配发</t>
  </si>
  <si>
    <t>B-05；B-18</t>
  </si>
  <si>
    <t>2.2.13</t>
  </si>
  <si>
    <t>题库应用多维分析</t>
  </si>
  <si>
    <t>2.2.14</t>
  </si>
  <si>
    <t>角色权限与加密存储</t>
  </si>
  <si>
    <t>G-03—04；S-03</t>
  </si>
  <si>
    <t>2.2.15</t>
  </si>
  <si>
    <t>规则校验多套智能抽取</t>
  </si>
  <si>
    <t>B-11；B-16</t>
  </si>
  <si>
    <t>2.2.16</t>
  </si>
  <si>
    <t>技能题分层与考场准备</t>
  </si>
  <si>
    <t>B-02；B-21</t>
  </si>
  <si>
    <t>电子书上传发布维护日志</t>
  </si>
  <si>
    <t>B-26—27</t>
  </si>
  <si>
    <t>500本以上正版电子书</t>
  </si>
  <si>
    <t>2.2.19</t>
  </si>
  <si>
    <t>题库实时更新维护</t>
  </si>
  <si>
    <t>同人线上线下试卷归集</t>
  </si>
  <si>
    <t>B-25；A-09</t>
  </si>
  <si>
    <t>一键配卷与2000人以上</t>
  </si>
  <si>
    <t>E-03；N-11</t>
  </si>
  <si>
    <t>2.3.2</t>
  </si>
  <si>
    <t>多类防舞弊</t>
  </si>
  <si>
    <t>E-06—10；E-14—20</t>
  </si>
  <si>
    <t>PC平板手机在线考试</t>
  </si>
  <si>
    <t>E-04—05</t>
  </si>
  <si>
    <t>故障预案与PC手机续考</t>
  </si>
  <si>
    <t>E-24—26；S-07</t>
  </si>
  <si>
    <t>客观自动分与多判分析</t>
  </si>
  <si>
    <t>M-01—02；M-15；A-05—06</t>
  </si>
  <si>
    <t>多时点核验公安与异地</t>
  </si>
  <si>
    <t>E-06—09；E-28</t>
  </si>
  <si>
    <t>IP范围限制</t>
  </si>
  <si>
    <t>30分钟迟到15分钟交卷</t>
  </si>
  <si>
    <t>E-12—13</t>
  </si>
  <si>
    <t>PC手机强防舞弊</t>
  </si>
  <si>
    <t>E-14—17；E-27</t>
  </si>
  <si>
    <t>防复制机位绑定与乱序</t>
  </si>
  <si>
    <t>E-18—20</t>
  </si>
  <si>
    <t>字号计算器标记倒计时签字</t>
  </si>
  <si>
    <t>E-21—23</t>
  </si>
  <si>
    <t>现场成绩及个人分析</t>
  </si>
  <si>
    <t>差值阈值与仲裁</t>
  </si>
  <si>
    <t>M-05—07</t>
  </si>
  <si>
    <t>权重平均去极值核分</t>
  </si>
  <si>
    <t>多维与保密阅卷</t>
  </si>
  <si>
    <t>M-03；M-10</t>
  </si>
  <si>
    <t>随机专家与组员任务调整</t>
  </si>
  <si>
    <t>M-02；M-08—09</t>
  </si>
  <si>
    <t>阅卷进度质量效率统计</t>
  </si>
  <si>
    <t>M-11—12；A-04</t>
  </si>
  <si>
    <t>判分结果开放及专家签字</t>
  </si>
  <si>
    <t>M-13—14</t>
  </si>
  <si>
    <t>2.3.20</t>
  </si>
  <si>
    <t>2.4.1</t>
  </si>
  <si>
    <t>人社资源共享</t>
  </si>
  <si>
    <t>2.4.2</t>
  </si>
  <si>
    <t>原系统无缝对接</t>
  </si>
  <si>
    <t>员工字段映射</t>
  </si>
  <si>
    <t>I-03；I-11</t>
  </si>
  <si>
    <t>考务计划考场监考联动</t>
  </si>
  <si>
    <t>E-01—02；I-04</t>
  </si>
  <si>
    <t>机考与传统试卷配发</t>
  </si>
  <si>
    <t>B-18；I-05—06</t>
  </si>
  <si>
    <t>2.4.7</t>
  </si>
  <si>
    <t>系统全面融合不中断</t>
  </si>
  <si>
    <t>G-01；I-08；I-10</t>
  </si>
  <si>
    <t>2.4.8</t>
  </si>
  <si>
    <t>A-01—08</t>
  </si>
  <si>
    <t>2.4.9</t>
  </si>
  <si>
    <t>开放API及HR/OA</t>
  </si>
  <si>
    <t>（三）安全及保密★</t>
  </si>
  <si>
    <t>安全体系、等保及保密测评</t>
  </si>
  <si>
    <t>N-03；S-01—06</t>
  </si>
  <si>
    <t>安全与合规架构</t>
  </si>
  <si>
    <t>4.1★</t>
  </si>
  <si>
    <t>国产软件自主知识产权</t>
  </si>
  <si>
    <t>N-04；N-22</t>
  </si>
  <si>
    <t>4.2</t>
  </si>
  <si>
    <t>国产硬软安全产品兼容</t>
  </si>
  <si>
    <t>国产终端IE8及以上</t>
  </si>
  <si>
    <t>4.4</t>
  </si>
  <si>
    <t>永久不限点并发授权</t>
  </si>
  <si>
    <t>4.5</t>
  </si>
  <si>
    <t>扩容服务器不另收费</t>
  </si>
  <si>
    <t>4.6</t>
  </si>
  <si>
    <t>甲方环境与兼容解决</t>
  </si>
  <si>
    <t>N-06—08</t>
  </si>
  <si>
    <t>4.7</t>
  </si>
  <si>
    <t>传统平台数据库中间件</t>
  </si>
  <si>
    <t>N-06—07</t>
  </si>
  <si>
    <t>4.8</t>
  </si>
  <si>
    <t>国产数据库中间件OS</t>
  </si>
  <si>
    <t>4.9</t>
  </si>
  <si>
    <t>5.1</t>
  </si>
  <si>
    <t>开放共享集成</t>
  </si>
  <si>
    <t>N-31；I-09</t>
  </si>
  <si>
    <t>5.2</t>
  </si>
  <si>
    <t>升级与功能扩展</t>
  </si>
  <si>
    <t>5.3</t>
  </si>
  <si>
    <t>负载均衡集群高可用</t>
  </si>
  <si>
    <t>5.4</t>
  </si>
  <si>
    <t>至少2000同时访问考试</t>
  </si>
  <si>
    <t>网络&lt;2ms平均操作≤1s</t>
  </si>
  <si>
    <t>5.6</t>
  </si>
  <si>
    <t>年故障&lt;0.5天平均修复≤2h</t>
  </si>
  <si>
    <t>N-14—15</t>
  </si>
  <si>
    <t>页面≤1s看板≤2s及500+</t>
  </si>
  <si>
    <t>免费商用企业第三方软件</t>
  </si>
  <si>
    <t>5.9</t>
  </si>
  <si>
    <t>7×24容灾与≥99.9%</t>
  </si>
  <si>
    <t>N-14；S-07</t>
  </si>
  <si>
    <t>5.10</t>
  </si>
  <si>
    <t>一年≤3次单次恢复≤4h</t>
  </si>
  <si>
    <t>6.1</t>
  </si>
  <si>
    <t>软硬件实施统筹</t>
  </si>
  <si>
    <t>实施路线与交付</t>
  </si>
  <si>
    <t>6.2</t>
  </si>
  <si>
    <t>范围开发实施清单分解</t>
  </si>
  <si>
    <t>6.3</t>
  </si>
  <si>
    <t>周例会及变更批准</t>
  </si>
  <si>
    <t>6.4</t>
  </si>
  <si>
    <t>风险识别及资源预留</t>
  </si>
  <si>
    <t>6.5</t>
  </si>
  <si>
    <t>软件工程全阶段文档</t>
  </si>
  <si>
    <t>N-23；S-10</t>
  </si>
  <si>
    <t>7.1★</t>
  </si>
  <si>
    <t>驻厂≥3常驻≥2风险≥5</t>
  </si>
  <si>
    <t>7.2</t>
  </si>
  <si>
    <t>稳定与交接</t>
  </si>
  <si>
    <t>7.3</t>
  </si>
  <si>
    <t>经理经验案例PMP</t>
  </si>
  <si>
    <t>7.4</t>
  </si>
  <si>
    <t>人员学历社保保密承诺</t>
  </si>
  <si>
    <t>N-25；N-27</t>
  </si>
  <si>
    <t>7.5</t>
  </si>
  <si>
    <t>不转包原则不分包</t>
  </si>
  <si>
    <t>7.6★</t>
  </si>
  <si>
    <t>考核与3日换人</t>
  </si>
  <si>
    <t>7.7</t>
  </si>
  <si>
    <t>保密协议与责任</t>
  </si>
  <si>
    <t>7.8</t>
  </si>
  <si>
    <t>入厂纪律及考勤</t>
  </si>
  <si>
    <t>（八）总周期24个月</t>
  </si>
  <si>
    <t>总周期24个月</t>
  </si>
  <si>
    <t>（八）阶段一：启动2个月</t>
  </si>
  <si>
    <t>阶段一：启动2个月</t>
  </si>
  <si>
    <t>（八）阶段二：实施部署10个月</t>
  </si>
  <si>
    <t>阶段二：实施部署10个月</t>
  </si>
  <si>
    <t>（八）阶段三：测试培训3个月</t>
  </si>
  <si>
    <t>阶段三：测试培训3个月</t>
  </si>
  <si>
    <t>N-29—30</t>
  </si>
  <si>
    <t>（八）阶段四：试运行6个月</t>
  </si>
  <si>
    <t>阶段四：试运行6个月</t>
  </si>
  <si>
    <t>（八）阶段五：验收3个月</t>
  </si>
  <si>
    <t>阶段五：验收3个月</t>
  </si>
  <si>
    <t>禁隐蔽恶意设备模块</t>
  </si>
  <si>
    <t>9.2★</t>
  </si>
  <si>
    <t>禁无线与远程维护模块</t>
  </si>
  <si>
    <t>9.3★</t>
  </si>
  <si>
    <t>禁Windows8/10/11及以上</t>
  </si>
  <si>
    <t>9.4★</t>
  </si>
  <si>
    <t>保密著作权正版化</t>
  </si>
  <si>
    <t>N-04；N-10；N-22</t>
  </si>
  <si>
    <t>9.5</t>
  </si>
  <si>
    <t>外部原型甲方编译测试部署</t>
  </si>
  <si>
    <t>不接触真实数据仅模拟</t>
  </si>
  <si>
    <t>9.7</t>
  </si>
  <si>
    <t>著作权归甲方</t>
  </si>
  <si>
    <t>实施路线｜24个月五阶段</t>
  </si>
  <si>
    <t>月序为连续排期示意：2＋10＋3＋6＋3＝24个月；节点仍按协议约定的合同签订、方案确认、开发完成等事件计算。</t>
  </si>
  <si>
    <t>来源：《技术协议（招标文件）》第22—23页实施节点要求；阶段内研发顺序属于规划建议，不替代正式批准计划。</t>
  </si>
  <si>
    <t>阶段</t>
  </si>
  <si>
    <t>月数</t>
  </si>
  <si>
    <t>开始月</t>
  </si>
  <si>
    <t>结束月</t>
  </si>
  <si>
    <t>交付成果</t>
  </si>
  <si>
    <t>关键约定</t>
  </si>
  <si>
    <t>项目启动</t>
  </si>
  <si>
    <t>项目策划书、计划、需求分析报告、实施方案</t>
  </si>
  <si>
    <t>合同后3工作日启动；启动后1个月需求调研；需求评审通过后1个月实施方案</t>
  </si>
  <si>
    <t>实施与部署</t>
  </si>
  <si>
    <t>详细方案、系统部署方案、完成开发及部署</t>
  </si>
  <si>
    <t>方案确认后10个月；真实环境由甲方编译、测试、部署</t>
  </si>
  <si>
    <t>测试与培训</t>
  </si>
  <si>
    <t>测试方案/用例/报告/问题记录、培训记录</t>
  </si>
  <si>
    <t>开发完成后5工作日移交测试；严重及一般缺陷5工作日修复并回归</t>
  </si>
  <si>
    <t>上线试运行</t>
  </si>
  <si>
    <t>试运行报告</t>
  </si>
  <si>
    <t>试运行6个月；期满无重大故障、性能满足要求</t>
  </si>
  <si>
    <t>项目验收</t>
  </si>
  <si>
    <t>全套文档、手册、应急预案、源代码、项目总结报告</t>
  </si>
  <si>
    <t>文档归档完毕并签署项目总结报告</t>
  </si>
  <si>
    <t>总周期（月）</t>
  </si>
  <si>
    <t>核对</t>
  </si>
  <si>
    <t>阶段二建议迭代：M3—M4基础与架构验证；M5—M7题库开发/管理与组卷；M8—M10考试/续考/阅卷/技能评分；M11—M12集成、报表、电子书和性能预验证。</t>
  </si>
  <si>
    <t>团队要求：驻厂不少于3人、常驻不少于2人；进度风险或拖期时可提供不少于5人。该要求是现场最低人数，不等同完整研发团队配置。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</si>
</sst>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;;;"/>
  </numFmts>
  <fonts count="32">
    <font>
      <sz val="11"/>
      <name val="Carlito"/>
      <charset val="134"/>
    </font>
    <font>
      <b/>
      <sz val="20"/>
      <color rgb="FFFFFFFF"/>
      <name val="Noto Sans CJK SC"/>
      <charset val="134"/>
    </font>
    <font>
      <sz val="10"/>
      <color rgb="FF5A6976"/>
      <name val="Noto Sans CJK SC"/>
      <charset val="134"/>
    </font>
    <font>
      <sz val="10"/>
      <name val="Noto Sans CJK SC"/>
      <charset val="134"/>
    </font>
    <font>
      <b/>
      <sz val="10"/>
      <color rgb="FFFFFFFF"/>
      <name val="Noto Sans CJK SC"/>
      <charset val="134"/>
    </font>
    <font>
      <sz val="10"/>
      <color rgb="FFFFFFFF"/>
      <name val="Noto Sans CJK SC"/>
      <charset val="134"/>
    </font>
    <font>
      <b/>
      <sz val="10"/>
      <color rgb="FF19364D"/>
      <name val="Noto Sans CJK SC"/>
      <charset val="134"/>
    </font>
    <font>
      <sz val="10"/>
      <color rgb="FF233746"/>
      <name val="Noto Sans CJK SC"/>
      <charset val="134"/>
    </font>
    <font>
      <sz val="10"/>
      <color rgb="FF1D5FA6"/>
      <name val="Noto Sans CJK SC"/>
      <charset val="134"/>
    </font>
    <font>
      <b/>
      <sz val="25"/>
      <color rgb="FF19364D"/>
      <name val="Noto Sans CJK SC"/>
      <charset val="134"/>
    </font>
    <font>
      <sz val="10"/>
      <color rgb="FF7F521D"/>
      <name val="Noto Sans CJK SC"/>
      <charset val="134"/>
    </font>
    <font>
      <sz val="9"/>
      <color rgb="FF5A6976"/>
      <name val="Noto Sans CJK S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9364D"/>
        <bgColor indexed="64"/>
      </patternFill>
    </fill>
    <fill>
      <patternFill patternType="solid">
        <fgColor rgb="FF087F80"/>
        <bgColor indexed="64"/>
      </patternFill>
    </fill>
    <fill>
      <patternFill patternType="solid">
        <fgColor rgb="FFEAF2F6"/>
        <bgColor indexed="64"/>
      </patternFill>
    </fill>
    <fill>
      <patternFill patternType="solid">
        <fgColor rgb="FFF4F7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1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23" fillId="10" borderId="4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vertical="top" wrapText="1"/>
    </xf>
    <xf numFmtId="178" fontId="5" fillId="0" borderId="0" xfId="0" applyNumberFormat="1" applyFont="1" applyFill="1" applyBorder="1" applyAlignment="1">
      <alignment horizontal="center" vertical="center"/>
    </xf>
    <xf numFmtId="0" fontId="6" fillId="4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/>
    </xf>
    <xf numFmtId="0" fontId="9" fillId="4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/>
    <xf numFmtId="0" fontId="3" fillId="5" borderId="0" xfId="0" applyNumberFormat="1" applyFont="1" applyFill="1" applyBorder="1" applyAlignment="1">
      <alignment vertical="center"/>
    </xf>
    <xf numFmtId="0" fontId="3" fillId="5" borderId="0" xfId="0" applyNumberFormat="1" applyFont="1" applyFill="1" applyBorder="1" applyAlignment="1">
      <alignment horizontal="center" vertical="center"/>
    </xf>
    <xf numFmtId="0" fontId="3" fillId="6" borderId="0" xfId="0" applyNumberFormat="1" applyFont="1" applyFill="1" applyBorder="1" applyAlignment="1">
      <alignment vertical="center"/>
    </xf>
    <xf numFmtId="0" fontId="3" fillId="6" borderId="0" xfId="0" applyNumberFormat="1" applyFont="1" applyFill="1" applyBorder="1" applyAlignment="1">
      <alignment horizontal="center" vertical="center"/>
    </xf>
    <xf numFmtId="0" fontId="3" fillId="5" borderId="0" xfId="0" applyNumberFormat="1" applyFont="1" applyFill="1" applyBorder="1" applyAlignment="1">
      <alignment wrapText="1"/>
    </xf>
    <xf numFmtId="0" fontId="3" fillId="5" borderId="0" xfId="0" applyNumberFormat="1" applyFont="1" applyFill="1" applyBorder="1" applyAlignment="1">
      <alignment horizontal="center" wrapText="1"/>
    </xf>
    <xf numFmtId="0" fontId="3" fillId="5" borderId="0" xfId="0" applyNumberFormat="1" applyFont="1" applyFill="1" applyBorder="1" applyAlignment="1">
      <alignment vertical="center" wrapText="1"/>
    </xf>
    <xf numFmtId="0" fontId="3" fillId="6" borderId="0" xfId="0" applyNumberFormat="1" applyFont="1" applyFill="1" applyBorder="1" applyAlignment="1">
      <alignment vertical="center" wrapText="1"/>
    </xf>
    <xf numFmtId="0" fontId="10" fillId="7" borderId="0" xfId="0" applyNumberFormat="1" applyFont="1" applyFill="1" applyBorder="1" applyAlignment="1">
      <alignment vertical="center" wrapText="1"/>
    </xf>
    <xf numFmtId="0" fontId="11" fillId="0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color rgb="FF254B70"/>
      </font>
      <fill>
        <patternFill patternType="solid">
          <bgColor rgb="FFE2EFF8"/>
        </patternFill>
      </fill>
    </dxf>
    <dxf>
      <font>
        <color rgb="FF8B4B1A"/>
      </font>
      <fill>
        <patternFill patternType="solid">
          <bgColor rgb="FFFFF1D5"/>
        </patternFill>
      </fill>
    </dxf>
    <dxf>
      <font>
        <color rgb="FF8B4B1A"/>
      </font>
      <fill>
        <patternFill patternType="solid">
          <bgColor rgb="FFFBEBDD"/>
        </patternFill>
      </fill>
    </dxf>
    <dxf>
      <fill>
        <patternFill patternType="solid">
          <bgColor rgb="FF087F8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eatureBacklog" displayName="FeatureBacklog" ref="A5:M139" totalsRowShown="0">
  <tableColumns count="13">
    <tableColumn id="1" name="功能编号"/>
    <tableColumn id="2" name="一级模块"/>
    <tableColumn id="3" name="功能名称"/>
    <tableColumn id="4" name="开发范围"/>
    <tableColumn id="5" name="使用角色"/>
    <tableColumn id="6" name="协议条款"/>
    <tableColumn id="7" name="来源类型"/>
    <tableColumn id="8" name="实施顺序"/>
    <tableColumn id="9" name="前置依赖"/>
    <tableColumn id="10" name="建议验收要点"/>
    <tableColumn id="11" name="评审状态"/>
    <tableColumn id="12" name="负责人"/>
    <tableColumn id="13" name="评审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straintRegister" displayName="ConstraintRegister" ref="A5:I36" totalsRowShown="0">
  <tableColumns count="9">
    <tableColumn id="1" name="约束编号"/>
    <tableColumn id="2" name="要求主题"/>
    <tableColumn id="3" name="协议要求"/>
    <tableColumn id="4" name="规划处理（建议）"/>
    <tableColumn id="5" name="建议验收证据"/>
    <tableColumn id="6" name="协议条款"/>
    <tableColumn id="7" name="控制节点"/>
    <tableColumn id="8" name="确认状态"/>
    <tableColumn id="9" name="负责人/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cisionRegister" displayName="DecisionRegister" ref="A5:H21" totalsRowShown="0">
  <tableColumns count="8">
    <tableColumn id="1" name="议题编号"/>
    <tableColumn id="2" name="待确认事项"/>
    <tableColumn id="3" name="影响与风险"/>
    <tableColumn id="4" name="需形成的决策"/>
    <tableColumn id="5" name="建议责任方"/>
    <tableColumn id="6" name="协议条款"/>
    <tableColumn id="7" name="状态"/>
    <tableColumn id="8" name="确认结论/日期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quirementTrace" displayName="RequirementTrace" ref="A5:G122" totalsRowShown="0">
  <tableColumns count="7">
    <tableColumn id="1" name="来源条款/章节"/>
    <tableColumn id="2" name="要求摘要"/>
    <tableColumn id="3" name="对应功能/约束编号"/>
    <tableColumn id="4" name="规划章节"/>
    <tableColumn id="5" name="覆盖状态"/>
    <tableColumn id="6" name="详细设计/测试证据"/>
    <tableColumn id="7" name="评审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opLeftCell="A2" workbookViewId="0">
      <selection activeCell="A26" sqref="A26:C26"/>
    </sheetView>
  </sheetViews>
  <sheetFormatPr defaultColWidth="9" defaultRowHeight="16.8"/>
  <cols>
    <col min="1" max="12" width="13" customWidth="1"/>
  </cols>
  <sheetData>
    <row r="1" ht="42" customHeight="1" spans="1:1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27" customHeight="1" spans="1:1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5" customHeight="1" spans="1:12">
      <c r="A4" s="13" t="s">
        <v>2</v>
      </c>
      <c r="B4" s="13"/>
      <c r="C4" s="13"/>
      <c r="D4" s="13" t="s">
        <v>3</v>
      </c>
      <c r="E4" s="13"/>
      <c r="F4" s="13"/>
      <c r="G4" s="13" t="s">
        <v>4</v>
      </c>
      <c r="H4" s="13"/>
      <c r="I4" s="13"/>
      <c r="J4" s="13" t="s">
        <v>5</v>
      </c>
      <c r="K4" s="13"/>
      <c r="L4" s="13"/>
    </row>
    <row r="5" ht="43" customHeight="1" spans="1:12">
      <c r="A5" s="14">
        <f>COUNTA(开发功能清单!$A$6:$A$139)</f>
        <v>134</v>
      </c>
      <c r="B5" s="14"/>
      <c r="C5" s="14"/>
      <c r="D5" s="14">
        <f>COUNTA(约束与验收!$A$6:$A$36)</f>
        <v>31</v>
      </c>
      <c r="E5" s="14"/>
      <c r="F5" s="14"/>
      <c r="G5" s="14">
        <f>COUNTA(待确认事项!$A$6:$A$21)</f>
        <v>16</v>
      </c>
      <c r="H5" s="14"/>
      <c r="I5" s="14"/>
      <c r="J5" s="14">
        <f>COUNTA(条款追溯!$A$6:$A$122)</f>
        <v>117</v>
      </c>
      <c r="K5" s="14"/>
      <c r="L5" s="14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6" customHeight="1" spans="1:12">
      <c r="A7" s="15" t="s">
        <v>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ht="25" customHeight="1" spans="1:12">
      <c r="A8" s="7" t="s">
        <v>7</v>
      </c>
      <c r="B8" s="7"/>
      <c r="C8" s="7"/>
      <c r="D8" s="7"/>
      <c r="E8" s="7" t="s">
        <v>8</v>
      </c>
      <c r="F8" s="7"/>
      <c r="G8" s="7" t="s">
        <v>9</v>
      </c>
      <c r="H8" s="7"/>
      <c r="I8" s="7" t="s">
        <v>10</v>
      </c>
      <c r="J8" s="7"/>
      <c r="K8" s="7" t="s">
        <v>11</v>
      </c>
      <c r="L8" s="7"/>
    </row>
    <row r="9" ht="27" customHeight="1" spans="1:12">
      <c r="A9" s="16" t="s">
        <v>12</v>
      </c>
      <c r="B9" s="16"/>
      <c r="C9" s="16"/>
      <c r="D9" s="16"/>
      <c r="E9" s="17">
        <f>COUNTIF(开发功能清单!$B$6:$B$139,A9)</f>
        <v>12</v>
      </c>
      <c r="F9" s="17"/>
      <c r="G9" s="17">
        <f>COUNTIFS(开发功能清单!$B$6:$B$139,A9,开发功能清单!$H$6:$H$139,"P0")</f>
        <v>10</v>
      </c>
      <c r="H9" s="17"/>
      <c r="I9" s="17">
        <f>COUNTIFS(开发功能清单!$B$6:$B$139,A9,开发功能清单!$H$6:$H$139,"P1")</f>
        <v>2</v>
      </c>
      <c r="J9" s="17"/>
      <c r="K9" s="17">
        <f>COUNTIFS(开发功能清单!$B$6:$B$139,A9,开发功能清单!$K$6:$K$139,"已确认")</f>
        <v>0</v>
      </c>
      <c r="L9" s="17"/>
    </row>
    <row r="10" ht="27" customHeight="1" spans="1:12">
      <c r="A10" s="18" t="s">
        <v>13</v>
      </c>
      <c r="B10" s="18"/>
      <c r="C10" s="18"/>
      <c r="D10" s="18"/>
      <c r="E10" s="19">
        <f>COUNTIF(开发功能清单!$B$6:$B$139,A10)</f>
        <v>22</v>
      </c>
      <c r="F10" s="19"/>
      <c r="G10" s="19">
        <f>COUNTIFS(开发功能清单!$B$6:$B$139,A10,开发功能清单!$H$6:$H$139,"P0")</f>
        <v>19</v>
      </c>
      <c r="H10" s="19"/>
      <c r="I10" s="19">
        <f>COUNTIFS(开发功能清单!$B$6:$B$139,A10,开发功能清单!$H$6:$H$139,"P1")</f>
        <v>3</v>
      </c>
      <c r="J10" s="19"/>
      <c r="K10" s="19">
        <f>COUNTIFS(开发功能清单!$B$6:$B$139,A10,开发功能清单!$K$6:$K$139,"已确认")</f>
        <v>0</v>
      </c>
      <c r="L10" s="19"/>
    </row>
    <row r="11" ht="27" customHeight="1" spans="1:12">
      <c r="A11" s="16" t="s">
        <v>14</v>
      </c>
      <c r="B11" s="16"/>
      <c r="C11" s="16"/>
      <c r="D11" s="16"/>
      <c r="E11" s="17">
        <f>COUNTIF(开发功能清单!$B$6:$B$139,A11)</f>
        <v>27</v>
      </c>
      <c r="F11" s="17"/>
      <c r="G11" s="17">
        <f>COUNTIFS(开发功能清单!$B$6:$B$139,A11,开发功能清单!$H$6:$H$139,"P0")</f>
        <v>21</v>
      </c>
      <c r="H11" s="17"/>
      <c r="I11" s="17">
        <f>COUNTIFS(开发功能清单!$B$6:$B$139,A11,开发功能清单!$H$6:$H$139,"P1")</f>
        <v>6</v>
      </c>
      <c r="J11" s="17"/>
      <c r="K11" s="17">
        <f>COUNTIFS(开发功能清单!$B$6:$B$139,A11,开发功能清单!$K$6:$K$139,"已确认")</f>
        <v>0</v>
      </c>
      <c r="L11" s="17"/>
    </row>
    <row r="12" ht="27" customHeight="1" spans="1:12">
      <c r="A12" s="18" t="s">
        <v>15</v>
      </c>
      <c r="B12" s="18"/>
      <c r="C12" s="18"/>
      <c r="D12" s="18"/>
      <c r="E12" s="19">
        <f>COUNTIF(开发功能清单!$B$6:$B$139,A12)</f>
        <v>28</v>
      </c>
      <c r="F12" s="19"/>
      <c r="G12" s="19">
        <f>COUNTIFS(开发功能清单!$B$6:$B$139,A12,开发功能清单!$H$6:$H$139,"P0")</f>
        <v>26</v>
      </c>
      <c r="H12" s="19"/>
      <c r="I12" s="19">
        <f>COUNTIFS(开发功能清单!$B$6:$B$139,A12,开发功能清单!$H$6:$H$139,"P1")</f>
        <v>2</v>
      </c>
      <c r="J12" s="19"/>
      <c r="K12" s="19">
        <f>COUNTIFS(开发功能清单!$B$6:$B$139,A12,开发功能清单!$K$6:$K$139,"已确认")</f>
        <v>0</v>
      </c>
      <c r="L12" s="19"/>
    </row>
    <row r="13" ht="27" customHeight="1" spans="1:12">
      <c r="A13" s="16" t="s">
        <v>16</v>
      </c>
      <c r="B13" s="16"/>
      <c r="C13" s="16"/>
      <c r="D13" s="16"/>
      <c r="E13" s="17">
        <f>COUNTIF(开发功能清单!$B$6:$B$139,A13)</f>
        <v>15</v>
      </c>
      <c r="F13" s="17"/>
      <c r="G13" s="17">
        <f>COUNTIFS(开发功能清单!$B$6:$B$139,A13,开发功能清单!$H$6:$H$139,"P0")</f>
        <v>11</v>
      </c>
      <c r="H13" s="17"/>
      <c r="I13" s="17">
        <f>COUNTIFS(开发功能清单!$B$6:$B$139,A13,开发功能清单!$H$6:$H$139,"P1")</f>
        <v>4</v>
      </c>
      <c r="J13" s="17"/>
      <c r="K13" s="17">
        <f>COUNTIFS(开发功能清单!$B$6:$B$139,A13,开发功能清单!$K$6:$K$139,"已确认")</f>
        <v>0</v>
      </c>
      <c r="L13" s="17"/>
    </row>
    <row r="14" ht="27" customHeight="1" spans="1:12">
      <c r="A14" s="18" t="s">
        <v>17</v>
      </c>
      <c r="B14" s="18"/>
      <c r="C14" s="18"/>
      <c r="D14" s="18"/>
      <c r="E14" s="19">
        <f>COUNTIF(开发功能清单!$B$6:$B$139,A14)</f>
        <v>9</v>
      </c>
      <c r="F14" s="19"/>
      <c r="G14" s="19">
        <f>COUNTIFS(开发功能清单!$B$6:$B$139,A14,开发功能清单!$H$6:$H$139,"P0")</f>
        <v>0</v>
      </c>
      <c r="H14" s="19"/>
      <c r="I14" s="19">
        <f>COUNTIFS(开发功能清单!$B$6:$B$139,A14,开发功能清单!$H$6:$H$139,"P1")</f>
        <v>9</v>
      </c>
      <c r="J14" s="19"/>
      <c r="K14" s="19">
        <f>COUNTIFS(开发功能清单!$B$6:$B$139,A14,开发功能清单!$K$6:$K$139,"已确认")</f>
        <v>0</v>
      </c>
      <c r="L14" s="19"/>
    </row>
    <row r="15" ht="27" customHeight="1" spans="1:12">
      <c r="A15" s="16" t="s">
        <v>18</v>
      </c>
      <c r="B15" s="16"/>
      <c r="C15" s="16"/>
      <c r="D15" s="16"/>
      <c r="E15" s="17">
        <f>COUNTIF(开发功能清单!$B$6:$B$139,A15)</f>
        <v>11</v>
      </c>
      <c r="F15" s="17"/>
      <c r="G15" s="17">
        <f>COUNTIFS(开发功能清单!$B$6:$B$139,A15,开发功能清单!$H$6:$H$139,"P0")</f>
        <v>10</v>
      </c>
      <c r="H15" s="17"/>
      <c r="I15" s="17">
        <f>COUNTIFS(开发功能清单!$B$6:$B$139,A15,开发功能清单!$H$6:$H$139,"P1")</f>
        <v>1</v>
      </c>
      <c r="J15" s="17"/>
      <c r="K15" s="17">
        <f>COUNTIFS(开发功能清单!$B$6:$B$139,A15,开发功能清单!$K$6:$K$139,"已确认")</f>
        <v>0</v>
      </c>
      <c r="L15" s="17"/>
    </row>
    <row r="16" ht="27" customHeight="1" spans="1:12">
      <c r="A16" s="18" t="s">
        <v>19</v>
      </c>
      <c r="B16" s="18"/>
      <c r="C16" s="18"/>
      <c r="D16" s="18"/>
      <c r="E16" s="19">
        <f>COUNTIF(开发功能清单!$B$6:$B$139,A16)</f>
        <v>10</v>
      </c>
      <c r="F16" s="19"/>
      <c r="G16" s="19">
        <f>COUNTIFS(开发功能清单!$B$6:$B$139,A16,开发功能清单!$H$6:$H$139,"P0")</f>
        <v>10</v>
      </c>
      <c r="H16" s="19"/>
      <c r="I16" s="19">
        <f>COUNTIFS(开发功能清单!$B$6:$B$139,A16,开发功能清单!$H$6:$H$139,"P1")</f>
        <v>0</v>
      </c>
      <c r="J16" s="19"/>
      <c r="K16" s="19">
        <f>COUNTIFS(开发功能清单!$B$6:$B$139,A16,开发功能清单!$K$6:$K$139,"已确认")</f>
        <v>0</v>
      </c>
      <c r="L16" s="19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6" customHeight="1" spans="1:12">
      <c r="A18" s="15" t="s">
        <v>20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ht="28" customHeight="1" spans="1:12">
      <c r="A19" s="20" t="s">
        <v>21</v>
      </c>
      <c r="B19" s="20"/>
      <c r="C19" s="20"/>
      <c r="D19" s="21">
        <f>COUNTIF(开发功能清单!$G$6:$G$139,A19)</f>
        <v>121</v>
      </c>
      <c r="E19" s="21"/>
      <c r="F19" s="20" t="s">
        <v>22</v>
      </c>
      <c r="G19" s="20"/>
      <c r="H19" s="20"/>
      <c r="I19" s="20"/>
      <c r="J19" s="20"/>
      <c r="K19" s="20"/>
      <c r="L19" s="20"/>
    </row>
    <row r="20" ht="28" customHeight="1" spans="1:12">
      <c r="A20" s="20" t="s">
        <v>23</v>
      </c>
      <c r="B20" s="20"/>
      <c r="C20" s="20"/>
      <c r="D20" s="21">
        <f>COUNTIF(开发功能清单!$G$6:$G$139,A20)</f>
        <v>12</v>
      </c>
      <c r="E20" s="21"/>
      <c r="F20" s="20" t="s">
        <v>24</v>
      </c>
      <c r="G20" s="20"/>
      <c r="H20" s="20"/>
      <c r="I20" s="20"/>
      <c r="J20" s="20"/>
      <c r="K20" s="20"/>
      <c r="L20" s="20"/>
    </row>
    <row r="21" ht="28" customHeight="1" spans="1:12">
      <c r="A21" s="20" t="s">
        <v>25</v>
      </c>
      <c r="B21" s="20"/>
      <c r="C21" s="20"/>
      <c r="D21" s="21">
        <f>COUNTIF(开发功能清单!$G$6:$G$139,A21)</f>
        <v>1</v>
      </c>
      <c r="E21" s="21"/>
      <c r="F21" s="20" t="s">
        <v>26</v>
      </c>
      <c r="G21" s="20"/>
      <c r="H21" s="20"/>
      <c r="I21" s="20"/>
      <c r="J21" s="20"/>
      <c r="K21" s="20"/>
      <c r="L21" s="20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26" customHeight="1" spans="1:12">
      <c r="A23" s="15" t="s">
        <v>27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ht="38" customHeight="1" spans="1:12">
      <c r="A24" s="22" t="s">
        <v>28</v>
      </c>
      <c r="B24" s="22"/>
      <c r="C24" s="22"/>
      <c r="D24" s="22" t="s">
        <v>29</v>
      </c>
      <c r="E24" s="22"/>
      <c r="F24" s="22"/>
      <c r="G24" s="22"/>
      <c r="H24" s="22"/>
      <c r="I24" s="22"/>
      <c r="J24" s="22"/>
      <c r="K24" s="22"/>
      <c r="L24" s="22"/>
    </row>
    <row r="25" ht="38" customHeight="1" spans="1:12">
      <c r="A25" s="23" t="s">
        <v>30</v>
      </c>
      <c r="B25" s="23"/>
      <c r="C25" s="23"/>
      <c r="D25" s="23" t="s">
        <v>31</v>
      </c>
      <c r="E25" s="23"/>
      <c r="F25" s="23"/>
      <c r="G25" s="23"/>
      <c r="H25" s="23"/>
      <c r="I25" s="23"/>
      <c r="J25" s="23"/>
      <c r="K25" s="23"/>
      <c r="L25" s="23"/>
    </row>
    <row r="26" ht="38" customHeight="1" spans="1:12">
      <c r="A26" s="22" t="s">
        <v>4</v>
      </c>
      <c r="B26" s="22"/>
      <c r="C26" s="22"/>
      <c r="D26" s="22" t="s">
        <v>32</v>
      </c>
      <c r="E26" s="22"/>
      <c r="F26" s="22"/>
      <c r="G26" s="22"/>
      <c r="H26" s="22"/>
      <c r="I26" s="22"/>
      <c r="J26" s="22"/>
      <c r="K26" s="22"/>
      <c r="L26" s="22"/>
    </row>
    <row r="27" ht="38" customHeight="1" spans="1:12">
      <c r="A27" s="23" t="s">
        <v>33</v>
      </c>
      <c r="B27" s="23"/>
      <c r="C27" s="23"/>
      <c r="D27" s="23" t="s">
        <v>34</v>
      </c>
      <c r="E27" s="23"/>
      <c r="F27" s="23"/>
      <c r="G27" s="23"/>
      <c r="H27" s="23"/>
      <c r="I27" s="23"/>
      <c r="J27" s="23"/>
      <c r="K27" s="23"/>
      <c r="L27" s="23"/>
    </row>
    <row r="28" ht="38" customHeight="1" spans="1:12">
      <c r="A28" s="22" t="s">
        <v>35</v>
      </c>
      <c r="B28" s="22"/>
      <c r="C28" s="22"/>
      <c r="D28" s="22" t="s">
        <v>36</v>
      </c>
      <c r="E28" s="22"/>
      <c r="F28" s="22"/>
      <c r="G28" s="22"/>
      <c r="H28" s="22"/>
      <c r="I28" s="22"/>
      <c r="J28" s="22"/>
      <c r="K28" s="22"/>
      <c r="L28" s="22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26" customHeight="1" spans="1:12">
      <c r="A30" s="24" t="s">
        <v>37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ht="26" customHeight="1" spans="1:12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ht="28" customHeight="1" spans="1:12">
      <c r="A33" s="25" t="s">
        <v>38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79">
    <mergeCell ref="A1:L1"/>
    <mergeCell ref="A2:L2"/>
    <mergeCell ref="A4:C4"/>
    <mergeCell ref="D4:F4"/>
    <mergeCell ref="G4:I4"/>
    <mergeCell ref="J4:L4"/>
    <mergeCell ref="A5:C5"/>
    <mergeCell ref="D5:F5"/>
    <mergeCell ref="G5:I5"/>
    <mergeCell ref="J5:L5"/>
    <mergeCell ref="A7:L7"/>
    <mergeCell ref="A8:D8"/>
    <mergeCell ref="E8:F8"/>
    <mergeCell ref="G8:H8"/>
    <mergeCell ref="I8:J8"/>
    <mergeCell ref="K8:L8"/>
    <mergeCell ref="A9:D9"/>
    <mergeCell ref="E9:F9"/>
    <mergeCell ref="G9:H9"/>
    <mergeCell ref="I9:J9"/>
    <mergeCell ref="K9:L9"/>
    <mergeCell ref="A10:D10"/>
    <mergeCell ref="E10:F10"/>
    <mergeCell ref="G10:H10"/>
    <mergeCell ref="I10:J10"/>
    <mergeCell ref="K10:L10"/>
    <mergeCell ref="A11:D11"/>
    <mergeCell ref="E11:F11"/>
    <mergeCell ref="G11:H11"/>
    <mergeCell ref="I11:J11"/>
    <mergeCell ref="K11:L11"/>
    <mergeCell ref="A12:D12"/>
    <mergeCell ref="E12:F12"/>
    <mergeCell ref="G12:H12"/>
    <mergeCell ref="I12:J12"/>
    <mergeCell ref="K12:L12"/>
    <mergeCell ref="A13:D13"/>
    <mergeCell ref="E13:F13"/>
    <mergeCell ref="G13:H13"/>
    <mergeCell ref="I13:J13"/>
    <mergeCell ref="K13:L13"/>
    <mergeCell ref="A14:D14"/>
    <mergeCell ref="E14:F14"/>
    <mergeCell ref="G14:H14"/>
    <mergeCell ref="I14:J14"/>
    <mergeCell ref="K14:L14"/>
    <mergeCell ref="A15:D15"/>
    <mergeCell ref="E15:F15"/>
    <mergeCell ref="G15:H15"/>
    <mergeCell ref="I15:J15"/>
    <mergeCell ref="K15:L15"/>
    <mergeCell ref="A16:D16"/>
    <mergeCell ref="E16:F16"/>
    <mergeCell ref="G16:H16"/>
    <mergeCell ref="I16:J16"/>
    <mergeCell ref="K16:L16"/>
    <mergeCell ref="A18:L18"/>
    <mergeCell ref="A19:C19"/>
    <mergeCell ref="D19:E19"/>
    <mergeCell ref="F19:L19"/>
    <mergeCell ref="A20:C20"/>
    <mergeCell ref="D20:E20"/>
    <mergeCell ref="F20:L20"/>
    <mergeCell ref="A21:C21"/>
    <mergeCell ref="D21:E21"/>
    <mergeCell ref="F21:L21"/>
    <mergeCell ref="A23:L23"/>
    <mergeCell ref="A24:C24"/>
    <mergeCell ref="D24:L24"/>
    <mergeCell ref="A25:C25"/>
    <mergeCell ref="D25:L25"/>
    <mergeCell ref="A26:C26"/>
    <mergeCell ref="D26:L26"/>
    <mergeCell ref="A27:C27"/>
    <mergeCell ref="D27:L27"/>
    <mergeCell ref="A28:C28"/>
    <mergeCell ref="D28:L28"/>
    <mergeCell ref="A33:L33"/>
    <mergeCell ref="A30:L3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9"/>
  <sheetViews>
    <sheetView topLeftCell="A133" workbookViewId="0">
      <selection activeCell="C13" sqref="C13"/>
    </sheetView>
  </sheetViews>
  <sheetFormatPr defaultColWidth="9" defaultRowHeight="16.8"/>
  <cols>
    <col min="1" max="1" width="12" customWidth="1"/>
    <col min="2" max="2" width="25" customWidth="1"/>
    <col min="3" max="3" width="26" customWidth="1"/>
    <col min="4" max="4" width="40" customWidth="1"/>
    <col min="5" max="5" width="23" customWidth="1"/>
    <col min="6" max="6" width="29" customWidth="1"/>
    <col min="7" max="7" width="15" customWidth="1"/>
    <col min="8" max="8" width="12" customWidth="1"/>
    <col min="9" max="9" width="31" customWidth="1"/>
    <col min="10" max="10" width="40" customWidth="1"/>
    <col min="11" max="12" width="15" customWidth="1"/>
    <col min="13" max="13" width="30" customWidth="1"/>
  </cols>
  <sheetData>
    <row r="1" ht="40" customHeight="1" spans="1:13">
      <c r="A1" s="8" t="s">
        <v>39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ht="26" customHeight="1" spans="1:13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6" customHeight="1" spans="1:13">
      <c r="A3" s="2" t="s">
        <v>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32" customHeight="1" spans="1:13">
      <c r="A5" s="9" t="s">
        <v>42</v>
      </c>
      <c r="B5" s="9" t="s">
        <v>7</v>
      </c>
      <c r="C5" s="9" t="s">
        <v>43</v>
      </c>
      <c r="D5" s="9" t="s">
        <v>44</v>
      </c>
      <c r="E5" s="9" t="s">
        <v>45</v>
      </c>
      <c r="F5" s="9" t="s">
        <v>46</v>
      </c>
      <c r="G5" s="9" t="s">
        <v>47</v>
      </c>
      <c r="H5" s="9" t="s">
        <v>48</v>
      </c>
      <c r="I5" s="9" t="s">
        <v>49</v>
      </c>
      <c r="J5" s="9" t="s">
        <v>50</v>
      </c>
      <c r="K5" s="9" t="s">
        <v>51</v>
      </c>
      <c r="L5" s="9" t="s">
        <v>52</v>
      </c>
      <c r="M5" s="9" t="s">
        <v>53</v>
      </c>
    </row>
    <row r="6" ht="74" customHeight="1" spans="1:13">
      <c r="A6" s="10" t="s">
        <v>54</v>
      </c>
      <c r="B6" s="10" t="s">
        <v>12</v>
      </c>
      <c r="C6" s="10" t="s">
        <v>55</v>
      </c>
      <c r="D6" s="10" t="s">
        <v>56</v>
      </c>
      <c r="E6" s="10" t="s">
        <v>57</v>
      </c>
      <c r="F6" s="10" t="s">
        <v>58</v>
      </c>
      <c r="G6" s="10" t="s">
        <v>21</v>
      </c>
      <c r="H6" s="10" t="s">
        <v>9</v>
      </c>
      <c r="I6" s="10" t="s">
        <v>59</v>
      </c>
      <c r="J6" s="10" t="s">
        <v>60</v>
      </c>
      <c r="K6" s="11" t="s">
        <v>61</v>
      </c>
      <c r="L6" s="11" t="s">
        <v>62</v>
      </c>
      <c r="M6" s="11" t="s">
        <v>63</v>
      </c>
    </row>
    <row r="7" ht="74" customHeight="1" spans="1:13">
      <c r="A7" s="10" t="s">
        <v>64</v>
      </c>
      <c r="B7" s="10" t="s">
        <v>12</v>
      </c>
      <c r="C7" s="10" t="s">
        <v>65</v>
      </c>
      <c r="D7" s="10" t="s">
        <v>66</v>
      </c>
      <c r="E7" s="10" t="s">
        <v>67</v>
      </c>
      <c r="F7" s="10" t="s">
        <v>68</v>
      </c>
      <c r="G7" s="10" t="s">
        <v>23</v>
      </c>
      <c r="H7" s="10" t="s">
        <v>9</v>
      </c>
      <c r="I7" s="10" t="s">
        <v>69</v>
      </c>
      <c r="J7" s="10" t="s">
        <v>70</v>
      </c>
      <c r="K7" s="11" t="s">
        <v>61</v>
      </c>
      <c r="L7" s="11" t="s">
        <v>62</v>
      </c>
      <c r="M7" s="11" t="s">
        <v>63</v>
      </c>
    </row>
    <row r="8" ht="74" customHeight="1" spans="1:13">
      <c r="A8" s="10" t="s">
        <v>71</v>
      </c>
      <c r="B8" s="10" t="s">
        <v>12</v>
      </c>
      <c r="C8" s="10" t="s">
        <v>72</v>
      </c>
      <c r="D8" s="10" t="s">
        <v>73</v>
      </c>
      <c r="E8" s="10" t="s">
        <v>67</v>
      </c>
      <c r="F8" s="10" t="s">
        <v>74</v>
      </c>
      <c r="G8" s="10" t="s">
        <v>21</v>
      </c>
      <c r="H8" s="10" t="s">
        <v>9</v>
      </c>
      <c r="I8" s="10" t="s">
        <v>75</v>
      </c>
      <c r="J8" s="10" t="s">
        <v>76</v>
      </c>
      <c r="K8" s="11" t="s">
        <v>61</v>
      </c>
      <c r="L8" s="11" t="s">
        <v>62</v>
      </c>
      <c r="M8" s="11" t="s">
        <v>63</v>
      </c>
    </row>
    <row r="9" ht="74" customHeight="1" spans="1:13">
      <c r="A9" s="10" t="s">
        <v>77</v>
      </c>
      <c r="B9" s="10" t="s">
        <v>12</v>
      </c>
      <c r="C9" s="10" t="s">
        <v>78</v>
      </c>
      <c r="D9" s="10" t="s">
        <v>79</v>
      </c>
      <c r="E9" s="10" t="s">
        <v>80</v>
      </c>
      <c r="F9" s="10" t="s">
        <v>81</v>
      </c>
      <c r="G9" s="10" t="s">
        <v>23</v>
      </c>
      <c r="H9" s="10" t="s">
        <v>9</v>
      </c>
      <c r="I9" s="10" t="s">
        <v>82</v>
      </c>
      <c r="J9" s="10" t="s">
        <v>83</v>
      </c>
      <c r="K9" s="11" t="s">
        <v>61</v>
      </c>
      <c r="L9" s="11" t="s">
        <v>62</v>
      </c>
      <c r="M9" s="11" t="s">
        <v>63</v>
      </c>
    </row>
    <row r="10" ht="74" customHeight="1" spans="1:13">
      <c r="A10" s="10" t="s">
        <v>84</v>
      </c>
      <c r="B10" s="10" t="s">
        <v>12</v>
      </c>
      <c r="C10" s="10" t="s">
        <v>85</v>
      </c>
      <c r="D10" s="10" t="s">
        <v>86</v>
      </c>
      <c r="E10" s="10" t="s">
        <v>87</v>
      </c>
      <c r="F10" s="10" t="s">
        <v>88</v>
      </c>
      <c r="G10" s="10" t="s">
        <v>23</v>
      </c>
      <c r="H10" s="10" t="s">
        <v>9</v>
      </c>
      <c r="I10" s="10" t="s">
        <v>89</v>
      </c>
      <c r="J10" s="10" t="s">
        <v>90</v>
      </c>
      <c r="K10" s="11" t="s">
        <v>61</v>
      </c>
      <c r="L10" s="11" t="s">
        <v>62</v>
      </c>
      <c r="M10" s="11" t="s">
        <v>63</v>
      </c>
    </row>
    <row r="11" ht="74" customHeight="1" spans="1:13">
      <c r="A11" s="10" t="s">
        <v>91</v>
      </c>
      <c r="B11" s="10" t="s">
        <v>12</v>
      </c>
      <c r="C11" s="10" t="s">
        <v>92</v>
      </c>
      <c r="D11" s="10" t="s">
        <v>93</v>
      </c>
      <c r="E11" s="10" t="s">
        <v>94</v>
      </c>
      <c r="F11" s="10" t="s">
        <v>95</v>
      </c>
      <c r="G11" s="10" t="s">
        <v>21</v>
      </c>
      <c r="H11" s="10" t="s">
        <v>9</v>
      </c>
      <c r="I11" s="10" t="s">
        <v>96</v>
      </c>
      <c r="J11" s="10" t="s">
        <v>97</v>
      </c>
      <c r="K11" s="11" t="s">
        <v>61</v>
      </c>
      <c r="L11" s="11" t="s">
        <v>62</v>
      </c>
      <c r="M11" s="11" t="s">
        <v>63</v>
      </c>
    </row>
    <row r="12" ht="74" customHeight="1" spans="1:13">
      <c r="A12" s="10" t="s">
        <v>98</v>
      </c>
      <c r="B12" s="10" t="s">
        <v>12</v>
      </c>
      <c r="C12" s="10" t="s">
        <v>99</v>
      </c>
      <c r="D12" s="10" t="s">
        <v>100</v>
      </c>
      <c r="E12" s="10" t="s">
        <v>101</v>
      </c>
      <c r="F12" s="10" t="s">
        <v>102</v>
      </c>
      <c r="G12" s="10" t="s">
        <v>21</v>
      </c>
      <c r="H12" s="10" t="s">
        <v>9</v>
      </c>
      <c r="I12" s="10" t="s">
        <v>103</v>
      </c>
      <c r="J12" s="10" t="s">
        <v>104</v>
      </c>
      <c r="K12" s="11" t="s">
        <v>61</v>
      </c>
      <c r="L12" s="11" t="s">
        <v>62</v>
      </c>
      <c r="M12" s="11" t="s">
        <v>63</v>
      </c>
    </row>
    <row r="13" ht="74" customHeight="1" spans="1:13">
      <c r="A13" s="10" t="s">
        <v>105</v>
      </c>
      <c r="B13" s="10" t="s">
        <v>12</v>
      </c>
      <c r="C13" s="10" t="s">
        <v>106</v>
      </c>
      <c r="D13" s="10" t="s">
        <v>107</v>
      </c>
      <c r="E13" s="10" t="s">
        <v>108</v>
      </c>
      <c r="F13" s="10" t="s">
        <v>109</v>
      </c>
      <c r="G13" s="10" t="s">
        <v>21</v>
      </c>
      <c r="H13" s="10" t="s">
        <v>9</v>
      </c>
      <c r="I13" s="10" t="s">
        <v>110</v>
      </c>
      <c r="J13" s="10" t="s">
        <v>111</v>
      </c>
      <c r="K13" s="11" t="s">
        <v>61</v>
      </c>
      <c r="L13" s="11" t="s">
        <v>62</v>
      </c>
      <c r="M13" s="11" t="s">
        <v>63</v>
      </c>
    </row>
    <row r="14" ht="74" customHeight="1" spans="1:13">
      <c r="A14" s="10" t="s">
        <v>112</v>
      </c>
      <c r="B14" s="10" t="s">
        <v>12</v>
      </c>
      <c r="C14" s="10" t="s">
        <v>113</v>
      </c>
      <c r="D14" s="10" t="s">
        <v>114</v>
      </c>
      <c r="E14" s="10" t="s">
        <v>115</v>
      </c>
      <c r="F14" s="10" t="s">
        <v>116</v>
      </c>
      <c r="G14" s="10" t="s">
        <v>21</v>
      </c>
      <c r="H14" s="10" t="s">
        <v>9</v>
      </c>
      <c r="I14" s="10" t="s">
        <v>117</v>
      </c>
      <c r="J14" s="10" t="s">
        <v>118</v>
      </c>
      <c r="K14" s="11" t="s">
        <v>61</v>
      </c>
      <c r="L14" s="11" t="s">
        <v>62</v>
      </c>
      <c r="M14" s="11" t="s">
        <v>63</v>
      </c>
    </row>
    <row r="15" ht="74" customHeight="1" spans="1:13">
      <c r="A15" s="10" t="s">
        <v>119</v>
      </c>
      <c r="B15" s="10" t="s">
        <v>12</v>
      </c>
      <c r="C15" s="10" t="s">
        <v>120</v>
      </c>
      <c r="D15" s="10" t="s">
        <v>121</v>
      </c>
      <c r="E15" s="10" t="s">
        <v>115</v>
      </c>
      <c r="F15" s="10" t="s">
        <v>122</v>
      </c>
      <c r="G15" s="10" t="s">
        <v>21</v>
      </c>
      <c r="H15" s="10" t="s">
        <v>9</v>
      </c>
      <c r="I15" s="10" t="s">
        <v>123</v>
      </c>
      <c r="J15" s="10" t="s">
        <v>124</v>
      </c>
      <c r="K15" s="11" t="s">
        <v>61</v>
      </c>
      <c r="L15" s="11" t="s">
        <v>62</v>
      </c>
      <c r="M15" s="11" t="s">
        <v>63</v>
      </c>
    </row>
    <row r="16" ht="74" customHeight="1" spans="1:13">
      <c r="A16" s="10" t="s">
        <v>125</v>
      </c>
      <c r="B16" s="10" t="s">
        <v>12</v>
      </c>
      <c r="C16" s="10" t="s">
        <v>126</v>
      </c>
      <c r="D16" s="10" t="s">
        <v>127</v>
      </c>
      <c r="E16" s="10" t="s">
        <v>128</v>
      </c>
      <c r="F16" s="10" t="s">
        <v>129</v>
      </c>
      <c r="G16" s="10" t="s">
        <v>21</v>
      </c>
      <c r="H16" s="10" t="s">
        <v>10</v>
      </c>
      <c r="I16" s="10" t="s">
        <v>130</v>
      </c>
      <c r="J16" s="10" t="s">
        <v>131</v>
      </c>
      <c r="K16" s="11" t="s">
        <v>61</v>
      </c>
      <c r="L16" s="11" t="s">
        <v>62</v>
      </c>
      <c r="M16" s="11" t="s">
        <v>63</v>
      </c>
    </row>
    <row r="17" ht="74" customHeight="1" spans="1:13">
      <c r="A17" s="10" t="s">
        <v>132</v>
      </c>
      <c r="B17" s="10" t="s">
        <v>12</v>
      </c>
      <c r="C17" s="10" t="s">
        <v>133</v>
      </c>
      <c r="D17" s="10" t="s">
        <v>134</v>
      </c>
      <c r="E17" s="10" t="s">
        <v>135</v>
      </c>
      <c r="F17" s="10" t="s">
        <v>136</v>
      </c>
      <c r="G17" s="10" t="s">
        <v>21</v>
      </c>
      <c r="H17" s="10" t="s">
        <v>10</v>
      </c>
      <c r="I17" s="10" t="s">
        <v>137</v>
      </c>
      <c r="J17" s="10" t="s">
        <v>138</v>
      </c>
      <c r="K17" s="11" t="s">
        <v>61</v>
      </c>
      <c r="L17" s="11" t="s">
        <v>62</v>
      </c>
      <c r="M17" s="11" t="s">
        <v>63</v>
      </c>
    </row>
    <row r="18" ht="74" customHeight="1" spans="1:13">
      <c r="A18" s="10" t="s">
        <v>139</v>
      </c>
      <c r="B18" s="10" t="s">
        <v>13</v>
      </c>
      <c r="C18" s="10" t="s">
        <v>140</v>
      </c>
      <c r="D18" s="10" t="s">
        <v>141</v>
      </c>
      <c r="E18" s="10" t="s">
        <v>142</v>
      </c>
      <c r="F18" s="10" t="s">
        <v>143</v>
      </c>
      <c r="G18" s="10" t="s">
        <v>21</v>
      </c>
      <c r="H18" s="10" t="s">
        <v>9</v>
      </c>
      <c r="I18" s="10" t="s">
        <v>144</v>
      </c>
      <c r="J18" s="10" t="s">
        <v>145</v>
      </c>
      <c r="K18" s="11" t="s">
        <v>61</v>
      </c>
      <c r="L18" s="11" t="s">
        <v>62</v>
      </c>
      <c r="M18" s="11" t="s">
        <v>63</v>
      </c>
    </row>
    <row r="19" ht="74" customHeight="1" spans="1:13">
      <c r="A19" s="10" t="s">
        <v>146</v>
      </c>
      <c r="B19" s="10" t="s">
        <v>13</v>
      </c>
      <c r="C19" s="10" t="s">
        <v>147</v>
      </c>
      <c r="D19" s="10" t="s">
        <v>148</v>
      </c>
      <c r="E19" s="10" t="s">
        <v>142</v>
      </c>
      <c r="F19" s="10" t="s">
        <v>149</v>
      </c>
      <c r="G19" s="10" t="s">
        <v>21</v>
      </c>
      <c r="H19" s="10" t="s">
        <v>9</v>
      </c>
      <c r="I19" s="10" t="s">
        <v>150</v>
      </c>
      <c r="J19" s="10" t="s">
        <v>151</v>
      </c>
      <c r="K19" s="11" t="s">
        <v>61</v>
      </c>
      <c r="L19" s="11" t="s">
        <v>62</v>
      </c>
      <c r="M19" s="11" t="s">
        <v>63</v>
      </c>
    </row>
    <row r="20" ht="74" customHeight="1" spans="1:13">
      <c r="A20" s="10" t="s">
        <v>152</v>
      </c>
      <c r="B20" s="10" t="s">
        <v>13</v>
      </c>
      <c r="C20" s="10" t="s">
        <v>153</v>
      </c>
      <c r="D20" s="10" t="s">
        <v>154</v>
      </c>
      <c r="E20" s="10" t="s">
        <v>155</v>
      </c>
      <c r="F20" s="10" t="s">
        <v>156</v>
      </c>
      <c r="G20" s="10" t="s">
        <v>21</v>
      </c>
      <c r="H20" s="10" t="s">
        <v>9</v>
      </c>
      <c r="I20" s="10" t="s">
        <v>157</v>
      </c>
      <c r="J20" s="10" t="s">
        <v>158</v>
      </c>
      <c r="K20" s="11" t="s">
        <v>61</v>
      </c>
      <c r="L20" s="11" t="s">
        <v>62</v>
      </c>
      <c r="M20" s="11" t="s">
        <v>63</v>
      </c>
    </row>
    <row r="21" ht="74" customHeight="1" spans="1:13">
      <c r="A21" s="10" t="s">
        <v>159</v>
      </c>
      <c r="B21" s="10" t="s">
        <v>13</v>
      </c>
      <c r="C21" s="10" t="s">
        <v>160</v>
      </c>
      <c r="D21" s="10" t="s">
        <v>161</v>
      </c>
      <c r="E21" s="10" t="s">
        <v>142</v>
      </c>
      <c r="F21" s="10" t="s">
        <v>149</v>
      </c>
      <c r="G21" s="10" t="s">
        <v>21</v>
      </c>
      <c r="H21" s="10" t="s">
        <v>9</v>
      </c>
      <c r="I21" s="10" t="s">
        <v>162</v>
      </c>
      <c r="J21" s="10" t="s">
        <v>163</v>
      </c>
      <c r="K21" s="11" t="s">
        <v>61</v>
      </c>
      <c r="L21" s="11" t="s">
        <v>62</v>
      </c>
      <c r="M21" s="11" t="s">
        <v>63</v>
      </c>
    </row>
    <row r="22" ht="74" customHeight="1" spans="1:13">
      <c r="A22" s="10" t="s">
        <v>164</v>
      </c>
      <c r="B22" s="10" t="s">
        <v>13</v>
      </c>
      <c r="C22" s="10" t="s">
        <v>165</v>
      </c>
      <c r="D22" s="10" t="s">
        <v>166</v>
      </c>
      <c r="E22" s="10" t="s">
        <v>167</v>
      </c>
      <c r="F22" s="10" t="s">
        <v>168</v>
      </c>
      <c r="G22" s="10" t="s">
        <v>21</v>
      </c>
      <c r="H22" s="10" t="s">
        <v>9</v>
      </c>
      <c r="I22" s="10" t="s">
        <v>169</v>
      </c>
      <c r="J22" s="10" t="s">
        <v>170</v>
      </c>
      <c r="K22" s="11" t="s">
        <v>61</v>
      </c>
      <c r="L22" s="11" t="s">
        <v>62</v>
      </c>
      <c r="M22" s="11" t="s">
        <v>63</v>
      </c>
    </row>
    <row r="23" ht="74" customHeight="1" spans="1:13">
      <c r="A23" s="10" t="s">
        <v>171</v>
      </c>
      <c r="B23" s="10" t="s">
        <v>13</v>
      </c>
      <c r="C23" s="10" t="s">
        <v>172</v>
      </c>
      <c r="D23" s="10" t="s">
        <v>173</v>
      </c>
      <c r="E23" s="10" t="s">
        <v>94</v>
      </c>
      <c r="F23" s="10" t="s">
        <v>174</v>
      </c>
      <c r="G23" s="10" t="s">
        <v>21</v>
      </c>
      <c r="H23" s="10" t="s">
        <v>9</v>
      </c>
      <c r="I23" s="10" t="s">
        <v>175</v>
      </c>
      <c r="J23" s="10" t="s">
        <v>176</v>
      </c>
      <c r="K23" s="11" t="s">
        <v>61</v>
      </c>
      <c r="L23" s="11" t="s">
        <v>62</v>
      </c>
      <c r="M23" s="11" t="s">
        <v>63</v>
      </c>
    </row>
    <row r="24" ht="74" customHeight="1" spans="1:13">
      <c r="A24" s="10" t="s">
        <v>177</v>
      </c>
      <c r="B24" s="10" t="s">
        <v>13</v>
      </c>
      <c r="C24" s="10" t="s">
        <v>178</v>
      </c>
      <c r="D24" s="10" t="s">
        <v>179</v>
      </c>
      <c r="E24" s="10" t="s">
        <v>180</v>
      </c>
      <c r="F24" s="10" t="s">
        <v>168</v>
      </c>
      <c r="G24" s="10" t="s">
        <v>21</v>
      </c>
      <c r="H24" s="10" t="s">
        <v>9</v>
      </c>
      <c r="I24" s="10" t="s">
        <v>181</v>
      </c>
      <c r="J24" s="10" t="s">
        <v>182</v>
      </c>
      <c r="K24" s="11" t="s">
        <v>61</v>
      </c>
      <c r="L24" s="11" t="s">
        <v>62</v>
      </c>
      <c r="M24" s="11" t="s">
        <v>63</v>
      </c>
    </row>
    <row r="25" ht="74" customHeight="1" spans="1:13">
      <c r="A25" s="10" t="s">
        <v>183</v>
      </c>
      <c r="B25" s="10" t="s">
        <v>13</v>
      </c>
      <c r="C25" s="10" t="s">
        <v>184</v>
      </c>
      <c r="D25" s="10" t="s">
        <v>185</v>
      </c>
      <c r="E25" s="10" t="s">
        <v>186</v>
      </c>
      <c r="F25" s="10" t="s">
        <v>187</v>
      </c>
      <c r="G25" s="10" t="s">
        <v>21</v>
      </c>
      <c r="H25" s="10" t="s">
        <v>9</v>
      </c>
      <c r="I25" s="10" t="s">
        <v>188</v>
      </c>
      <c r="J25" s="10" t="s">
        <v>189</v>
      </c>
      <c r="K25" s="11" t="s">
        <v>61</v>
      </c>
      <c r="L25" s="11" t="s">
        <v>62</v>
      </c>
      <c r="M25" s="11" t="s">
        <v>63</v>
      </c>
    </row>
    <row r="26" ht="74" customHeight="1" spans="1:13">
      <c r="A26" s="10" t="s">
        <v>190</v>
      </c>
      <c r="B26" s="10" t="s">
        <v>13</v>
      </c>
      <c r="C26" s="10" t="s">
        <v>191</v>
      </c>
      <c r="D26" s="10" t="s">
        <v>192</v>
      </c>
      <c r="E26" s="10" t="s">
        <v>193</v>
      </c>
      <c r="F26" s="10" t="s">
        <v>194</v>
      </c>
      <c r="G26" s="10" t="s">
        <v>21</v>
      </c>
      <c r="H26" s="10" t="s">
        <v>9</v>
      </c>
      <c r="I26" s="10" t="s">
        <v>195</v>
      </c>
      <c r="J26" s="10" t="s">
        <v>196</v>
      </c>
      <c r="K26" s="11" t="s">
        <v>61</v>
      </c>
      <c r="L26" s="11" t="s">
        <v>62</v>
      </c>
      <c r="M26" s="11" t="s">
        <v>63</v>
      </c>
    </row>
    <row r="27" ht="74" customHeight="1" spans="1:13">
      <c r="A27" s="10" t="s">
        <v>197</v>
      </c>
      <c r="B27" s="10" t="s">
        <v>13</v>
      </c>
      <c r="C27" s="10" t="s">
        <v>198</v>
      </c>
      <c r="D27" s="10" t="s">
        <v>199</v>
      </c>
      <c r="E27" s="10" t="s">
        <v>193</v>
      </c>
      <c r="F27" s="10" t="s">
        <v>200</v>
      </c>
      <c r="G27" s="10" t="s">
        <v>21</v>
      </c>
      <c r="H27" s="10" t="s">
        <v>9</v>
      </c>
      <c r="I27" s="10" t="s">
        <v>201</v>
      </c>
      <c r="J27" s="10" t="s">
        <v>202</v>
      </c>
      <c r="K27" s="11" t="s">
        <v>61</v>
      </c>
      <c r="L27" s="11" t="s">
        <v>62</v>
      </c>
      <c r="M27" s="11" t="s">
        <v>63</v>
      </c>
    </row>
    <row r="28" ht="74" customHeight="1" spans="1:13">
      <c r="A28" s="10" t="s">
        <v>203</v>
      </c>
      <c r="B28" s="10" t="s">
        <v>13</v>
      </c>
      <c r="C28" s="10" t="s">
        <v>204</v>
      </c>
      <c r="D28" s="10" t="s">
        <v>205</v>
      </c>
      <c r="E28" s="10" t="s">
        <v>193</v>
      </c>
      <c r="F28" s="10" t="s">
        <v>200</v>
      </c>
      <c r="G28" s="10" t="s">
        <v>21</v>
      </c>
      <c r="H28" s="10" t="s">
        <v>9</v>
      </c>
      <c r="I28" s="10" t="s">
        <v>206</v>
      </c>
      <c r="J28" s="10" t="s">
        <v>207</v>
      </c>
      <c r="K28" s="11" t="s">
        <v>61</v>
      </c>
      <c r="L28" s="11" t="s">
        <v>62</v>
      </c>
      <c r="M28" s="11" t="s">
        <v>63</v>
      </c>
    </row>
    <row r="29" ht="74" customHeight="1" spans="1:13">
      <c r="A29" s="10" t="s">
        <v>208</v>
      </c>
      <c r="B29" s="10" t="s">
        <v>13</v>
      </c>
      <c r="C29" s="10" t="s">
        <v>209</v>
      </c>
      <c r="D29" s="10" t="s">
        <v>210</v>
      </c>
      <c r="E29" s="10" t="s">
        <v>211</v>
      </c>
      <c r="F29" s="10" t="s">
        <v>212</v>
      </c>
      <c r="G29" s="10" t="s">
        <v>21</v>
      </c>
      <c r="H29" s="10" t="s">
        <v>9</v>
      </c>
      <c r="I29" s="10" t="s">
        <v>213</v>
      </c>
      <c r="J29" s="10" t="s">
        <v>214</v>
      </c>
      <c r="K29" s="11" t="s">
        <v>61</v>
      </c>
      <c r="L29" s="11" t="s">
        <v>62</v>
      </c>
      <c r="M29" s="11" t="s">
        <v>63</v>
      </c>
    </row>
    <row r="30" ht="74" customHeight="1" spans="1:13">
      <c r="A30" s="10" t="s">
        <v>215</v>
      </c>
      <c r="B30" s="10" t="s">
        <v>13</v>
      </c>
      <c r="C30" s="10" t="s">
        <v>216</v>
      </c>
      <c r="D30" s="10" t="s">
        <v>217</v>
      </c>
      <c r="E30" s="10" t="s">
        <v>218</v>
      </c>
      <c r="F30" s="10" t="s">
        <v>212</v>
      </c>
      <c r="G30" s="10" t="s">
        <v>21</v>
      </c>
      <c r="H30" s="10" t="s">
        <v>9</v>
      </c>
      <c r="I30" s="10" t="s">
        <v>219</v>
      </c>
      <c r="J30" s="10" t="s">
        <v>220</v>
      </c>
      <c r="K30" s="11" t="s">
        <v>61</v>
      </c>
      <c r="L30" s="11" t="s">
        <v>62</v>
      </c>
      <c r="M30" s="11" t="s">
        <v>63</v>
      </c>
    </row>
    <row r="31" ht="74" customHeight="1" spans="1:13">
      <c r="A31" s="10" t="s">
        <v>221</v>
      </c>
      <c r="B31" s="10" t="s">
        <v>13</v>
      </c>
      <c r="C31" s="10" t="s">
        <v>222</v>
      </c>
      <c r="D31" s="10" t="s">
        <v>223</v>
      </c>
      <c r="E31" s="10" t="s">
        <v>224</v>
      </c>
      <c r="F31" s="10" t="s">
        <v>225</v>
      </c>
      <c r="G31" s="10" t="s">
        <v>21</v>
      </c>
      <c r="H31" s="10" t="s">
        <v>9</v>
      </c>
      <c r="I31" s="10" t="s">
        <v>226</v>
      </c>
      <c r="J31" s="10" t="s">
        <v>227</v>
      </c>
      <c r="K31" s="11" t="s">
        <v>61</v>
      </c>
      <c r="L31" s="11" t="s">
        <v>62</v>
      </c>
      <c r="M31" s="11" t="s">
        <v>63</v>
      </c>
    </row>
    <row r="32" ht="74" customHeight="1" spans="1:13">
      <c r="A32" s="10" t="s">
        <v>228</v>
      </c>
      <c r="B32" s="10" t="s">
        <v>13</v>
      </c>
      <c r="C32" s="10" t="s">
        <v>229</v>
      </c>
      <c r="D32" s="10" t="s">
        <v>230</v>
      </c>
      <c r="E32" s="10" t="s">
        <v>231</v>
      </c>
      <c r="F32" s="10" t="s">
        <v>232</v>
      </c>
      <c r="G32" s="10" t="s">
        <v>21</v>
      </c>
      <c r="H32" s="10" t="s">
        <v>10</v>
      </c>
      <c r="I32" s="10" t="s">
        <v>233</v>
      </c>
      <c r="J32" s="10" t="s">
        <v>234</v>
      </c>
      <c r="K32" s="11" t="s">
        <v>61</v>
      </c>
      <c r="L32" s="11" t="s">
        <v>62</v>
      </c>
      <c r="M32" s="11" t="s">
        <v>63</v>
      </c>
    </row>
    <row r="33" ht="74" customHeight="1" spans="1:13">
      <c r="A33" s="10" t="s">
        <v>235</v>
      </c>
      <c r="B33" s="10" t="s">
        <v>13</v>
      </c>
      <c r="C33" s="10" t="s">
        <v>236</v>
      </c>
      <c r="D33" s="10" t="s">
        <v>237</v>
      </c>
      <c r="E33" s="10" t="s">
        <v>238</v>
      </c>
      <c r="F33" s="10" t="s">
        <v>239</v>
      </c>
      <c r="G33" s="10" t="s">
        <v>21</v>
      </c>
      <c r="H33" s="10" t="s">
        <v>9</v>
      </c>
      <c r="I33" s="10" t="s">
        <v>240</v>
      </c>
      <c r="J33" s="10" t="s">
        <v>241</v>
      </c>
      <c r="K33" s="11" t="s">
        <v>61</v>
      </c>
      <c r="L33" s="11" t="s">
        <v>62</v>
      </c>
      <c r="M33" s="11" t="s">
        <v>63</v>
      </c>
    </row>
    <row r="34" ht="74" customHeight="1" spans="1:13">
      <c r="A34" s="10" t="s">
        <v>242</v>
      </c>
      <c r="B34" s="10" t="s">
        <v>13</v>
      </c>
      <c r="C34" s="10" t="s">
        <v>243</v>
      </c>
      <c r="D34" s="10" t="s">
        <v>244</v>
      </c>
      <c r="E34" s="10" t="s">
        <v>245</v>
      </c>
      <c r="F34" s="10" t="s">
        <v>246</v>
      </c>
      <c r="G34" s="10" t="s">
        <v>21</v>
      </c>
      <c r="H34" s="10" t="s">
        <v>9</v>
      </c>
      <c r="I34" s="10" t="s">
        <v>247</v>
      </c>
      <c r="J34" s="10" t="s">
        <v>248</v>
      </c>
      <c r="K34" s="11" t="s">
        <v>61</v>
      </c>
      <c r="L34" s="11" t="s">
        <v>62</v>
      </c>
      <c r="M34" s="11" t="s">
        <v>63</v>
      </c>
    </row>
    <row r="35" ht="74" customHeight="1" spans="1:13">
      <c r="A35" s="10" t="s">
        <v>249</v>
      </c>
      <c r="B35" s="10" t="s">
        <v>13</v>
      </c>
      <c r="C35" s="10" t="s">
        <v>250</v>
      </c>
      <c r="D35" s="10" t="s">
        <v>251</v>
      </c>
      <c r="E35" s="10" t="s">
        <v>108</v>
      </c>
      <c r="F35" s="10" t="s">
        <v>252</v>
      </c>
      <c r="G35" s="10" t="s">
        <v>21</v>
      </c>
      <c r="H35" s="10" t="s">
        <v>9</v>
      </c>
      <c r="I35" s="10" t="s">
        <v>253</v>
      </c>
      <c r="J35" s="10" t="s">
        <v>254</v>
      </c>
      <c r="K35" s="11" t="s">
        <v>61</v>
      </c>
      <c r="L35" s="11" t="s">
        <v>62</v>
      </c>
      <c r="M35" s="11" t="s">
        <v>63</v>
      </c>
    </row>
    <row r="36" ht="74" customHeight="1" spans="1:13">
      <c r="A36" s="10" t="s">
        <v>255</v>
      </c>
      <c r="B36" s="10" t="s">
        <v>13</v>
      </c>
      <c r="C36" s="10" t="s">
        <v>256</v>
      </c>
      <c r="D36" s="10" t="s">
        <v>257</v>
      </c>
      <c r="E36" s="10" t="s">
        <v>142</v>
      </c>
      <c r="F36" s="10" t="s">
        <v>258</v>
      </c>
      <c r="G36" s="10" t="s">
        <v>21</v>
      </c>
      <c r="H36" s="10" t="s">
        <v>9</v>
      </c>
      <c r="I36" s="10" t="s">
        <v>259</v>
      </c>
      <c r="J36" s="10" t="s">
        <v>260</v>
      </c>
      <c r="K36" s="11" t="s">
        <v>61</v>
      </c>
      <c r="L36" s="11" t="s">
        <v>62</v>
      </c>
      <c r="M36" s="11" t="s">
        <v>63</v>
      </c>
    </row>
    <row r="37" ht="74" customHeight="1" spans="1:13">
      <c r="A37" s="10" t="s">
        <v>261</v>
      </c>
      <c r="B37" s="10" t="s">
        <v>13</v>
      </c>
      <c r="C37" s="10" t="s">
        <v>262</v>
      </c>
      <c r="D37" s="10" t="s">
        <v>263</v>
      </c>
      <c r="E37" s="10" t="s">
        <v>264</v>
      </c>
      <c r="F37" s="10" t="s">
        <v>265</v>
      </c>
      <c r="G37" s="10" t="s">
        <v>21</v>
      </c>
      <c r="H37" s="10" t="s">
        <v>9</v>
      </c>
      <c r="I37" s="10" t="s">
        <v>266</v>
      </c>
      <c r="J37" s="10" t="s">
        <v>267</v>
      </c>
      <c r="K37" s="11" t="s">
        <v>61</v>
      </c>
      <c r="L37" s="11" t="s">
        <v>62</v>
      </c>
      <c r="M37" s="11" t="s">
        <v>63</v>
      </c>
    </row>
    <row r="38" ht="74" customHeight="1" spans="1:13">
      <c r="A38" s="10" t="s">
        <v>268</v>
      </c>
      <c r="B38" s="10" t="s">
        <v>13</v>
      </c>
      <c r="C38" s="10" t="s">
        <v>269</v>
      </c>
      <c r="D38" s="10" t="s">
        <v>270</v>
      </c>
      <c r="E38" s="10" t="s">
        <v>271</v>
      </c>
      <c r="F38" s="10" t="s">
        <v>272</v>
      </c>
      <c r="G38" s="10" t="s">
        <v>21</v>
      </c>
      <c r="H38" s="10" t="s">
        <v>10</v>
      </c>
      <c r="I38" s="10" t="s">
        <v>273</v>
      </c>
      <c r="J38" s="10" t="s">
        <v>274</v>
      </c>
      <c r="K38" s="11" t="s">
        <v>61</v>
      </c>
      <c r="L38" s="11" t="s">
        <v>62</v>
      </c>
      <c r="M38" s="11" t="s">
        <v>63</v>
      </c>
    </row>
    <row r="39" ht="74" customHeight="1" spans="1:13">
      <c r="A39" s="10" t="s">
        <v>275</v>
      </c>
      <c r="B39" s="10" t="s">
        <v>13</v>
      </c>
      <c r="C39" s="10" t="s">
        <v>276</v>
      </c>
      <c r="D39" s="10" t="s">
        <v>277</v>
      </c>
      <c r="E39" s="10" t="s">
        <v>142</v>
      </c>
      <c r="F39" s="10" t="s">
        <v>278</v>
      </c>
      <c r="G39" s="10" t="s">
        <v>21</v>
      </c>
      <c r="H39" s="10" t="s">
        <v>10</v>
      </c>
      <c r="I39" s="10" t="s">
        <v>279</v>
      </c>
      <c r="J39" s="10" t="s">
        <v>280</v>
      </c>
      <c r="K39" s="11" t="s">
        <v>61</v>
      </c>
      <c r="L39" s="11" t="s">
        <v>62</v>
      </c>
      <c r="M39" s="11" t="s">
        <v>63</v>
      </c>
    </row>
    <row r="40" ht="74" customHeight="1" spans="1:13">
      <c r="A40" s="10" t="s">
        <v>281</v>
      </c>
      <c r="B40" s="10" t="s">
        <v>14</v>
      </c>
      <c r="C40" s="10" t="s">
        <v>282</v>
      </c>
      <c r="D40" s="10" t="s">
        <v>283</v>
      </c>
      <c r="E40" s="10" t="s">
        <v>284</v>
      </c>
      <c r="F40" s="10" t="s">
        <v>285</v>
      </c>
      <c r="G40" s="10" t="s">
        <v>21</v>
      </c>
      <c r="H40" s="10" t="s">
        <v>9</v>
      </c>
      <c r="I40" s="10" t="s">
        <v>286</v>
      </c>
      <c r="J40" s="10" t="s">
        <v>287</v>
      </c>
      <c r="K40" s="11" t="s">
        <v>61</v>
      </c>
      <c r="L40" s="11" t="s">
        <v>62</v>
      </c>
      <c r="M40" s="11" t="s">
        <v>63</v>
      </c>
    </row>
    <row r="41" ht="74" customHeight="1" spans="1:13">
      <c r="A41" s="10" t="s">
        <v>288</v>
      </c>
      <c r="B41" s="10" t="s">
        <v>14</v>
      </c>
      <c r="C41" s="10" t="s">
        <v>289</v>
      </c>
      <c r="D41" s="10" t="s">
        <v>290</v>
      </c>
      <c r="E41" s="10" t="s">
        <v>284</v>
      </c>
      <c r="F41" s="10" t="s">
        <v>291</v>
      </c>
      <c r="G41" s="10" t="s">
        <v>21</v>
      </c>
      <c r="H41" s="10" t="s">
        <v>9</v>
      </c>
      <c r="I41" s="10" t="s">
        <v>292</v>
      </c>
      <c r="J41" s="10" t="s">
        <v>293</v>
      </c>
      <c r="K41" s="11" t="s">
        <v>61</v>
      </c>
      <c r="L41" s="11" t="s">
        <v>62</v>
      </c>
      <c r="M41" s="11" t="s">
        <v>63</v>
      </c>
    </row>
    <row r="42" ht="74" customHeight="1" spans="1:13">
      <c r="A42" s="10" t="s">
        <v>294</v>
      </c>
      <c r="B42" s="10" t="s">
        <v>14</v>
      </c>
      <c r="C42" s="10" t="s">
        <v>295</v>
      </c>
      <c r="D42" s="10" t="s">
        <v>296</v>
      </c>
      <c r="E42" s="10" t="s">
        <v>297</v>
      </c>
      <c r="F42" s="10" t="s">
        <v>298</v>
      </c>
      <c r="G42" s="10" t="s">
        <v>21</v>
      </c>
      <c r="H42" s="10" t="s">
        <v>9</v>
      </c>
      <c r="I42" s="10" t="s">
        <v>299</v>
      </c>
      <c r="J42" s="10" t="s">
        <v>300</v>
      </c>
      <c r="K42" s="11" t="s">
        <v>61</v>
      </c>
      <c r="L42" s="11" t="s">
        <v>62</v>
      </c>
      <c r="M42" s="11" t="s">
        <v>63</v>
      </c>
    </row>
    <row r="43" ht="74" customHeight="1" spans="1:13">
      <c r="A43" s="10" t="s">
        <v>301</v>
      </c>
      <c r="B43" s="10" t="s">
        <v>14</v>
      </c>
      <c r="C43" s="10" t="s">
        <v>302</v>
      </c>
      <c r="D43" s="10" t="s">
        <v>303</v>
      </c>
      <c r="E43" s="10" t="s">
        <v>284</v>
      </c>
      <c r="F43" s="10" t="s">
        <v>304</v>
      </c>
      <c r="G43" s="10" t="s">
        <v>21</v>
      </c>
      <c r="H43" s="10" t="s">
        <v>9</v>
      </c>
      <c r="I43" s="10" t="s">
        <v>305</v>
      </c>
      <c r="J43" s="10" t="s">
        <v>306</v>
      </c>
      <c r="K43" s="11" t="s">
        <v>61</v>
      </c>
      <c r="L43" s="11" t="s">
        <v>62</v>
      </c>
      <c r="M43" s="11" t="s">
        <v>63</v>
      </c>
    </row>
    <row r="44" ht="74" customHeight="1" spans="1:13">
      <c r="A44" s="10" t="s">
        <v>307</v>
      </c>
      <c r="B44" s="10" t="s">
        <v>14</v>
      </c>
      <c r="C44" s="10" t="s">
        <v>308</v>
      </c>
      <c r="D44" s="10" t="s">
        <v>309</v>
      </c>
      <c r="E44" s="10" t="s">
        <v>310</v>
      </c>
      <c r="F44" s="10" t="s">
        <v>311</v>
      </c>
      <c r="G44" s="10" t="s">
        <v>21</v>
      </c>
      <c r="H44" s="10" t="s">
        <v>10</v>
      </c>
      <c r="I44" s="10" t="s">
        <v>312</v>
      </c>
      <c r="J44" s="10" t="s">
        <v>313</v>
      </c>
      <c r="K44" s="11" t="s">
        <v>61</v>
      </c>
      <c r="L44" s="11" t="s">
        <v>62</v>
      </c>
      <c r="M44" s="11" t="s">
        <v>63</v>
      </c>
    </row>
    <row r="45" ht="74" customHeight="1" spans="1:13">
      <c r="A45" s="10" t="s">
        <v>314</v>
      </c>
      <c r="B45" s="10" t="s">
        <v>14</v>
      </c>
      <c r="C45" s="10" t="s">
        <v>315</v>
      </c>
      <c r="D45" s="10" t="s">
        <v>316</v>
      </c>
      <c r="E45" s="10" t="s">
        <v>284</v>
      </c>
      <c r="F45" s="10" t="s">
        <v>317</v>
      </c>
      <c r="G45" s="10" t="s">
        <v>21</v>
      </c>
      <c r="H45" s="10" t="s">
        <v>9</v>
      </c>
      <c r="I45" s="10" t="s">
        <v>318</v>
      </c>
      <c r="J45" s="10" t="s">
        <v>319</v>
      </c>
      <c r="K45" s="11" t="s">
        <v>61</v>
      </c>
      <c r="L45" s="11" t="s">
        <v>62</v>
      </c>
      <c r="M45" s="11" t="s">
        <v>63</v>
      </c>
    </row>
    <row r="46" ht="74" customHeight="1" spans="1:13">
      <c r="A46" s="10" t="s">
        <v>320</v>
      </c>
      <c r="B46" s="10" t="s">
        <v>14</v>
      </c>
      <c r="C46" s="10" t="s">
        <v>321</v>
      </c>
      <c r="D46" s="10" t="s">
        <v>322</v>
      </c>
      <c r="E46" s="10" t="s">
        <v>284</v>
      </c>
      <c r="F46" s="10" t="s">
        <v>317</v>
      </c>
      <c r="G46" s="10" t="s">
        <v>21</v>
      </c>
      <c r="H46" s="10" t="s">
        <v>9</v>
      </c>
      <c r="I46" s="10" t="s">
        <v>323</v>
      </c>
      <c r="J46" s="10" t="s">
        <v>324</v>
      </c>
      <c r="K46" s="11" t="s">
        <v>61</v>
      </c>
      <c r="L46" s="11" t="s">
        <v>62</v>
      </c>
      <c r="M46" s="11" t="s">
        <v>63</v>
      </c>
    </row>
    <row r="47" ht="74" customHeight="1" spans="1:13">
      <c r="A47" s="10" t="s">
        <v>325</v>
      </c>
      <c r="B47" s="10" t="s">
        <v>14</v>
      </c>
      <c r="C47" s="10" t="s">
        <v>326</v>
      </c>
      <c r="D47" s="10" t="s">
        <v>327</v>
      </c>
      <c r="E47" s="10" t="s">
        <v>328</v>
      </c>
      <c r="F47" s="10" t="s">
        <v>329</v>
      </c>
      <c r="G47" s="10" t="s">
        <v>21</v>
      </c>
      <c r="H47" s="10" t="s">
        <v>9</v>
      </c>
      <c r="I47" s="10" t="s">
        <v>330</v>
      </c>
      <c r="J47" s="10" t="s">
        <v>331</v>
      </c>
      <c r="K47" s="11" t="s">
        <v>61</v>
      </c>
      <c r="L47" s="11" t="s">
        <v>62</v>
      </c>
      <c r="M47" s="11" t="s">
        <v>63</v>
      </c>
    </row>
    <row r="48" ht="74" customHeight="1" spans="1:13">
      <c r="A48" s="10" t="s">
        <v>332</v>
      </c>
      <c r="B48" s="10" t="s">
        <v>14</v>
      </c>
      <c r="C48" s="10" t="s">
        <v>333</v>
      </c>
      <c r="D48" s="10" t="s">
        <v>334</v>
      </c>
      <c r="E48" s="10" t="s">
        <v>328</v>
      </c>
      <c r="F48" s="10" t="s">
        <v>335</v>
      </c>
      <c r="G48" s="10" t="s">
        <v>21</v>
      </c>
      <c r="H48" s="10" t="s">
        <v>9</v>
      </c>
      <c r="I48" s="10" t="s">
        <v>336</v>
      </c>
      <c r="J48" s="10" t="s">
        <v>337</v>
      </c>
      <c r="K48" s="11" t="s">
        <v>61</v>
      </c>
      <c r="L48" s="11" t="s">
        <v>62</v>
      </c>
      <c r="M48" s="11" t="s">
        <v>63</v>
      </c>
    </row>
    <row r="49" ht="74" customHeight="1" spans="1:13">
      <c r="A49" s="10" t="s">
        <v>338</v>
      </c>
      <c r="B49" s="10" t="s">
        <v>14</v>
      </c>
      <c r="C49" s="10" t="s">
        <v>339</v>
      </c>
      <c r="D49" s="10" t="s">
        <v>340</v>
      </c>
      <c r="E49" s="10" t="s">
        <v>328</v>
      </c>
      <c r="F49" s="10" t="s">
        <v>341</v>
      </c>
      <c r="G49" s="10" t="s">
        <v>21</v>
      </c>
      <c r="H49" s="10" t="s">
        <v>9</v>
      </c>
      <c r="I49" s="10" t="s">
        <v>342</v>
      </c>
      <c r="J49" s="10" t="s">
        <v>343</v>
      </c>
      <c r="K49" s="11" t="s">
        <v>61</v>
      </c>
      <c r="L49" s="11" t="s">
        <v>62</v>
      </c>
      <c r="M49" s="11" t="s">
        <v>63</v>
      </c>
    </row>
    <row r="50" ht="74" customHeight="1" spans="1:13">
      <c r="A50" s="10" t="s">
        <v>344</v>
      </c>
      <c r="B50" s="10" t="s">
        <v>14</v>
      </c>
      <c r="C50" s="10" t="s">
        <v>345</v>
      </c>
      <c r="D50" s="10" t="s">
        <v>346</v>
      </c>
      <c r="E50" s="10" t="s">
        <v>328</v>
      </c>
      <c r="F50" s="10" t="s">
        <v>347</v>
      </c>
      <c r="G50" s="10" t="s">
        <v>21</v>
      </c>
      <c r="H50" s="10" t="s">
        <v>9</v>
      </c>
      <c r="I50" s="10" t="s">
        <v>348</v>
      </c>
      <c r="J50" s="10" t="s">
        <v>349</v>
      </c>
      <c r="K50" s="11" t="s">
        <v>61</v>
      </c>
      <c r="L50" s="11" t="s">
        <v>62</v>
      </c>
      <c r="M50" s="11" t="s">
        <v>63</v>
      </c>
    </row>
    <row r="51" ht="74" customHeight="1" spans="1:13">
      <c r="A51" s="10" t="s">
        <v>350</v>
      </c>
      <c r="B51" s="10" t="s">
        <v>14</v>
      </c>
      <c r="C51" s="10" t="s">
        <v>351</v>
      </c>
      <c r="D51" s="10" t="s">
        <v>352</v>
      </c>
      <c r="E51" s="10" t="s">
        <v>328</v>
      </c>
      <c r="F51" s="10" t="s">
        <v>353</v>
      </c>
      <c r="G51" s="10" t="s">
        <v>21</v>
      </c>
      <c r="H51" s="10" t="s">
        <v>9</v>
      </c>
      <c r="I51" s="10" t="s">
        <v>354</v>
      </c>
      <c r="J51" s="10" t="s">
        <v>355</v>
      </c>
      <c r="K51" s="11" t="s">
        <v>61</v>
      </c>
      <c r="L51" s="11" t="s">
        <v>62</v>
      </c>
      <c r="M51" s="11" t="s">
        <v>63</v>
      </c>
    </row>
    <row r="52" ht="74" customHeight="1" spans="1:13">
      <c r="A52" s="10" t="s">
        <v>356</v>
      </c>
      <c r="B52" s="10" t="s">
        <v>14</v>
      </c>
      <c r="C52" s="10" t="s">
        <v>357</v>
      </c>
      <c r="D52" s="10" t="s">
        <v>358</v>
      </c>
      <c r="E52" s="10" t="s">
        <v>328</v>
      </c>
      <c r="F52" s="10" t="s">
        <v>353</v>
      </c>
      <c r="G52" s="10" t="s">
        <v>21</v>
      </c>
      <c r="H52" s="10" t="s">
        <v>9</v>
      </c>
      <c r="I52" s="10" t="s">
        <v>359</v>
      </c>
      <c r="J52" s="10" t="s">
        <v>360</v>
      </c>
      <c r="K52" s="11" t="s">
        <v>61</v>
      </c>
      <c r="L52" s="11" t="s">
        <v>62</v>
      </c>
      <c r="M52" s="11" t="s">
        <v>63</v>
      </c>
    </row>
    <row r="53" ht="74" customHeight="1" spans="1:13">
      <c r="A53" s="10" t="s">
        <v>361</v>
      </c>
      <c r="B53" s="10" t="s">
        <v>14</v>
      </c>
      <c r="C53" s="10" t="s">
        <v>362</v>
      </c>
      <c r="D53" s="10" t="s">
        <v>363</v>
      </c>
      <c r="E53" s="10" t="s">
        <v>328</v>
      </c>
      <c r="F53" s="10" t="s">
        <v>364</v>
      </c>
      <c r="G53" s="10" t="s">
        <v>21</v>
      </c>
      <c r="H53" s="10" t="s">
        <v>9</v>
      </c>
      <c r="I53" s="10" t="s">
        <v>365</v>
      </c>
      <c r="J53" s="10" t="s">
        <v>366</v>
      </c>
      <c r="K53" s="11" t="s">
        <v>61</v>
      </c>
      <c r="L53" s="11" t="s">
        <v>62</v>
      </c>
      <c r="M53" s="11" t="s">
        <v>63</v>
      </c>
    </row>
    <row r="54" ht="74" customHeight="1" spans="1:13">
      <c r="A54" s="10" t="s">
        <v>367</v>
      </c>
      <c r="B54" s="10" t="s">
        <v>14</v>
      </c>
      <c r="C54" s="10" t="s">
        <v>368</v>
      </c>
      <c r="D54" s="10" t="s">
        <v>369</v>
      </c>
      <c r="E54" s="10" t="s">
        <v>328</v>
      </c>
      <c r="F54" s="10" t="s">
        <v>353</v>
      </c>
      <c r="G54" s="10" t="s">
        <v>21</v>
      </c>
      <c r="H54" s="10" t="s">
        <v>9</v>
      </c>
      <c r="I54" s="10" t="s">
        <v>370</v>
      </c>
      <c r="J54" s="10" t="s">
        <v>371</v>
      </c>
      <c r="K54" s="11" t="s">
        <v>61</v>
      </c>
      <c r="L54" s="11" t="s">
        <v>62</v>
      </c>
      <c r="M54" s="11" t="s">
        <v>63</v>
      </c>
    </row>
    <row r="55" ht="74" customHeight="1" spans="1:13">
      <c r="A55" s="10" t="s">
        <v>372</v>
      </c>
      <c r="B55" s="10" t="s">
        <v>14</v>
      </c>
      <c r="C55" s="10" t="s">
        <v>373</v>
      </c>
      <c r="D55" s="10" t="s">
        <v>374</v>
      </c>
      <c r="E55" s="10" t="s">
        <v>328</v>
      </c>
      <c r="F55" s="10" t="s">
        <v>375</v>
      </c>
      <c r="G55" s="10" t="s">
        <v>21</v>
      </c>
      <c r="H55" s="10" t="s">
        <v>9</v>
      </c>
      <c r="I55" s="10" t="s">
        <v>376</v>
      </c>
      <c r="J55" s="10" t="s">
        <v>377</v>
      </c>
      <c r="K55" s="11" t="s">
        <v>61</v>
      </c>
      <c r="L55" s="11" t="s">
        <v>62</v>
      </c>
      <c r="M55" s="11" t="s">
        <v>63</v>
      </c>
    </row>
    <row r="56" ht="74" customHeight="1" spans="1:13">
      <c r="A56" s="10" t="s">
        <v>378</v>
      </c>
      <c r="B56" s="10" t="s">
        <v>14</v>
      </c>
      <c r="C56" s="10" t="s">
        <v>379</v>
      </c>
      <c r="D56" s="10" t="s">
        <v>380</v>
      </c>
      <c r="E56" s="10" t="s">
        <v>381</v>
      </c>
      <c r="F56" s="10" t="s">
        <v>382</v>
      </c>
      <c r="G56" s="10" t="s">
        <v>21</v>
      </c>
      <c r="H56" s="10" t="s">
        <v>9</v>
      </c>
      <c r="I56" s="10" t="s">
        <v>383</v>
      </c>
      <c r="J56" s="10" t="s">
        <v>384</v>
      </c>
      <c r="K56" s="11" t="s">
        <v>61</v>
      </c>
      <c r="L56" s="11" t="s">
        <v>62</v>
      </c>
      <c r="M56" s="11" t="s">
        <v>63</v>
      </c>
    </row>
    <row r="57" ht="74" customHeight="1" spans="1:13">
      <c r="A57" s="10" t="s">
        <v>385</v>
      </c>
      <c r="B57" s="10" t="s">
        <v>14</v>
      </c>
      <c r="C57" s="10" t="s">
        <v>386</v>
      </c>
      <c r="D57" s="10" t="s">
        <v>387</v>
      </c>
      <c r="E57" s="10" t="s">
        <v>388</v>
      </c>
      <c r="F57" s="10" t="s">
        <v>389</v>
      </c>
      <c r="G57" s="10" t="s">
        <v>21</v>
      </c>
      <c r="H57" s="10" t="s">
        <v>9</v>
      </c>
      <c r="I57" s="10" t="s">
        <v>390</v>
      </c>
      <c r="J57" s="10" t="s">
        <v>391</v>
      </c>
      <c r="K57" s="11" t="s">
        <v>61</v>
      </c>
      <c r="L57" s="11" t="s">
        <v>62</v>
      </c>
      <c r="M57" s="11" t="s">
        <v>63</v>
      </c>
    </row>
    <row r="58" ht="74" customHeight="1" spans="1:13">
      <c r="A58" s="10" t="s">
        <v>392</v>
      </c>
      <c r="B58" s="10" t="s">
        <v>14</v>
      </c>
      <c r="C58" s="10" t="s">
        <v>393</v>
      </c>
      <c r="D58" s="10" t="s">
        <v>394</v>
      </c>
      <c r="E58" s="10" t="s">
        <v>395</v>
      </c>
      <c r="F58" s="10" t="s">
        <v>396</v>
      </c>
      <c r="G58" s="10" t="s">
        <v>21</v>
      </c>
      <c r="H58" s="10" t="s">
        <v>10</v>
      </c>
      <c r="I58" s="10" t="s">
        <v>397</v>
      </c>
      <c r="J58" s="10" t="s">
        <v>398</v>
      </c>
      <c r="K58" s="11" t="s">
        <v>61</v>
      </c>
      <c r="L58" s="11" t="s">
        <v>62</v>
      </c>
      <c r="M58" s="11" t="s">
        <v>63</v>
      </c>
    </row>
    <row r="59" ht="74" customHeight="1" spans="1:13">
      <c r="A59" s="10" t="s">
        <v>399</v>
      </c>
      <c r="B59" s="10" t="s">
        <v>14</v>
      </c>
      <c r="C59" s="10" t="s">
        <v>400</v>
      </c>
      <c r="D59" s="10" t="s">
        <v>401</v>
      </c>
      <c r="E59" s="10" t="s">
        <v>402</v>
      </c>
      <c r="F59" s="10" t="s">
        <v>403</v>
      </c>
      <c r="G59" s="10" t="s">
        <v>21</v>
      </c>
      <c r="H59" s="10" t="s">
        <v>10</v>
      </c>
      <c r="I59" s="10" t="s">
        <v>404</v>
      </c>
      <c r="J59" s="10" t="s">
        <v>405</v>
      </c>
      <c r="K59" s="11" t="s">
        <v>61</v>
      </c>
      <c r="L59" s="11" t="s">
        <v>62</v>
      </c>
      <c r="M59" s="11" t="s">
        <v>63</v>
      </c>
    </row>
    <row r="60" ht="74" customHeight="1" spans="1:13">
      <c r="A60" s="10" t="s">
        <v>406</v>
      </c>
      <c r="B60" s="10" t="s">
        <v>14</v>
      </c>
      <c r="C60" s="10" t="s">
        <v>407</v>
      </c>
      <c r="D60" s="10" t="s">
        <v>408</v>
      </c>
      <c r="E60" s="10" t="s">
        <v>310</v>
      </c>
      <c r="F60" s="10" t="s">
        <v>409</v>
      </c>
      <c r="G60" s="10" t="s">
        <v>21</v>
      </c>
      <c r="H60" s="10" t="s">
        <v>9</v>
      </c>
      <c r="I60" s="10" t="s">
        <v>410</v>
      </c>
      <c r="J60" s="10" t="s">
        <v>411</v>
      </c>
      <c r="K60" s="11" t="s">
        <v>61</v>
      </c>
      <c r="L60" s="11" t="s">
        <v>62</v>
      </c>
      <c r="M60" s="11" t="s">
        <v>63</v>
      </c>
    </row>
    <row r="61" ht="74" customHeight="1" spans="1:13">
      <c r="A61" s="10" t="s">
        <v>412</v>
      </c>
      <c r="B61" s="10" t="s">
        <v>14</v>
      </c>
      <c r="C61" s="10" t="s">
        <v>413</v>
      </c>
      <c r="D61" s="10" t="s">
        <v>414</v>
      </c>
      <c r="E61" s="10" t="s">
        <v>415</v>
      </c>
      <c r="F61" s="10" t="s">
        <v>416</v>
      </c>
      <c r="G61" s="10" t="s">
        <v>21</v>
      </c>
      <c r="H61" s="10" t="s">
        <v>9</v>
      </c>
      <c r="I61" s="10" t="s">
        <v>417</v>
      </c>
      <c r="J61" s="10" t="s">
        <v>418</v>
      </c>
      <c r="K61" s="11" t="s">
        <v>61</v>
      </c>
      <c r="L61" s="11" t="s">
        <v>62</v>
      </c>
      <c r="M61" s="11" t="s">
        <v>63</v>
      </c>
    </row>
    <row r="62" ht="74" customHeight="1" spans="1:13">
      <c r="A62" s="10" t="s">
        <v>419</v>
      </c>
      <c r="B62" s="10" t="s">
        <v>14</v>
      </c>
      <c r="C62" s="10" t="s">
        <v>420</v>
      </c>
      <c r="D62" s="10" t="s">
        <v>421</v>
      </c>
      <c r="E62" s="10" t="s">
        <v>422</v>
      </c>
      <c r="F62" s="10" t="s">
        <v>416</v>
      </c>
      <c r="G62" s="10" t="s">
        <v>21</v>
      </c>
      <c r="H62" s="10" t="s">
        <v>9</v>
      </c>
      <c r="I62" s="10" t="s">
        <v>423</v>
      </c>
      <c r="J62" s="10" t="s">
        <v>424</v>
      </c>
      <c r="K62" s="11" t="s">
        <v>61</v>
      </c>
      <c r="L62" s="11" t="s">
        <v>62</v>
      </c>
      <c r="M62" s="11" t="s">
        <v>63</v>
      </c>
    </row>
    <row r="63" ht="74" customHeight="1" spans="1:13">
      <c r="A63" s="10" t="s">
        <v>425</v>
      </c>
      <c r="B63" s="10" t="s">
        <v>14</v>
      </c>
      <c r="C63" s="10" t="s">
        <v>426</v>
      </c>
      <c r="D63" s="10" t="s">
        <v>427</v>
      </c>
      <c r="E63" s="10" t="s">
        <v>428</v>
      </c>
      <c r="F63" s="10" t="s">
        <v>416</v>
      </c>
      <c r="G63" s="10" t="s">
        <v>21</v>
      </c>
      <c r="H63" s="10" t="s">
        <v>9</v>
      </c>
      <c r="I63" s="10" t="s">
        <v>429</v>
      </c>
      <c r="J63" s="10" t="s">
        <v>430</v>
      </c>
      <c r="K63" s="11" t="s">
        <v>61</v>
      </c>
      <c r="L63" s="11" t="s">
        <v>62</v>
      </c>
      <c r="M63" s="11" t="s">
        <v>63</v>
      </c>
    </row>
    <row r="64" ht="74" customHeight="1" spans="1:13">
      <c r="A64" s="10" t="s">
        <v>431</v>
      </c>
      <c r="B64" s="10" t="s">
        <v>14</v>
      </c>
      <c r="C64" s="10" t="s">
        <v>432</v>
      </c>
      <c r="D64" s="10" t="s">
        <v>433</v>
      </c>
      <c r="E64" s="10" t="s">
        <v>434</v>
      </c>
      <c r="F64" s="10" t="s">
        <v>435</v>
      </c>
      <c r="G64" s="10" t="s">
        <v>21</v>
      </c>
      <c r="H64" s="10" t="s">
        <v>10</v>
      </c>
      <c r="I64" s="10" t="s">
        <v>436</v>
      </c>
      <c r="J64" s="10" t="s">
        <v>437</v>
      </c>
      <c r="K64" s="11" t="s">
        <v>61</v>
      </c>
      <c r="L64" s="11" t="s">
        <v>62</v>
      </c>
      <c r="M64" s="11" t="s">
        <v>63</v>
      </c>
    </row>
    <row r="65" ht="74" customHeight="1" spans="1:13">
      <c r="A65" s="10" t="s">
        <v>438</v>
      </c>
      <c r="B65" s="10" t="s">
        <v>14</v>
      </c>
      <c r="C65" s="10" t="s">
        <v>439</v>
      </c>
      <c r="D65" s="10" t="s">
        <v>440</v>
      </c>
      <c r="E65" s="10" t="s">
        <v>441</v>
      </c>
      <c r="F65" s="10" t="s">
        <v>442</v>
      </c>
      <c r="G65" s="10" t="s">
        <v>21</v>
      </c>
      <c r="H65" s="10" t="s">
        <v>10</v>
      </c>
      <c r="I65" s="10" t="s">
        <v>443</v>
      </c>
      <c r="J65" s="10" t="s">
        <v>444</v>
      </c>
      <c r="K65" s="11" t="s">
        <v>61</v>
      </c>
      <c r="L65" s="11" t="s">
        <v>62</v>
      </c>
      <c r="M65" s="11" t="s">
        <v>63</v>
      </c>
    </row>
    <row r="66" ht="74" customHeight="1" spans="1:13">
      <c r="A66" s="10" t="s">
        <v>445</v>
      </c>
      <c r="B66" s="10" t="s">
        <v>14</v>
      </c>
      <c r="C66" s="10" t="s">
        <v>446</v>
      </c>
      <c r="D66" s="10" t="s">
        <v>447</v>
      </c>
      <c r="E66" s="10" t="s">
        <v>448</v>
      </c>
      <c r="F66" s="10" t="s">
        <v>442</v>
      </c>
      <c r="G66" s="10" t="s">
        <v>21</v>
      </c>
      <c r="H66" s="10" t="s">
        <v>10</v>
      </c>
      <c r="I66" s="10" t="s">
        <v>449</v>
      </c>
      <c r="J66" s="10" t="s">
        <v>450</v>
      </c>
      <c r="K66" s="11" t="s">
        <v>61</v>
      </c>
      <c r="L66" s="11" t="s">
        <v>62</v>
      </c>
      <c r="M66" s="11" t="s">
        <v>63</v>
      </c>
    </row>
    <row r="67" ht="74" customHeight="1" spans="1:13">
      <c r="A67" s="10" t="s">
        <v>451</v>
      </c>
      <c r="B67" s="10" t="s">
        <v>15</v>
      </c>
      <c r="C67" s="10" t="s">
        <v>452</v>
      </c>
      <c r="D67" s="10" t="s">
        <v>453</v>
      </c>
      <c r="E67" s="10" t="s">
        <v>454</v>
      </c>
      <c r="F67" s="10" t="s">
        <v>455</v>
      </c>
      <c r="G67" s="10" t="s">
        <v>21</v>
      </c>
      <c r="H67" s="10" t="s">
        <v>9</v>
      </c>
      <c r="I67" s="10" t="s">
        <v>456</v>
      </c>
      <c r="J67" s="10" t="s">
        <v>457</v>
      </c>
      <c r="K67" s="11" t="s">
        <v>61</v>
      </c>
      <c r="L67" s="11" t="s">
        <v>62</v>
      </c>
      <c r="M67" s="11" t="s">
        <v>63</v>
      </c>
    </row>
    <row r="68" ht="74" customHeight="1" spans="1:13">
      <c r="A68" s="10" t="s">
        <v>458</v>
      </c>
      <c r="B68" s="10" t="s">
        <v>15</v>
      </c>
      <c r="C68" s="10" t="s">
        <v>459</v>
      </c>
      <c r="D68" s="10" t="s">
        <v>460</v>
      </c>
      <c r="E68" s="10" t="s">
        <v>454</v>
      </c>
      <c r="F68" s="10" t="s">
        <v>455</v>
      </c>
      <c r="G68" s="10" t="s">
        <v>21</v>
      </c>
      <c r="H68" s="10" t="s">
        <v>9</v>
      </c>
      <c r="I68" s="10" t="s">
        <v>461</v>
      </c>
      <c r="J68" s="10" t="s">
        <v>462</v>
      </c>
      <c r="K68" s="11" t="s">
        <v>61</v>
      </c>
      <c r="L68" s="11" t="s">
        <v>62</v>
      </c>
      <c r="M68" s="11" t="s">
        <v>63</v>
      </c>
    </row>
    <row r="69" ht="74" customHeight="1" spans="1:13">
      <c r="A69" s="10" t="s">
        <v>463</v>
      </c>
      <c r="B69" s="10" t="s">
        <v>15</v>
      </c>
      <c r="C69" s="10" t="s">
        <v>464</v>
      </c>
      <c r="D69" s="10" t="s">
        <v>465</v>
      </c>
      <c r="E69" s="10" t="s">
        <v>466</v>
      </c>
      <c r="F69" s="10" t="s">
        <v>467</v>
      </c>
      <c r="G69" s="10" t="s">
        <v>21</v>
      </c>
      <c r="H69" s="10" t="s">
        <v>9</v>
      </c>
      <c r="I69" s="10" t="s">
        <v>468</v>
      </c>
      <c r="J69" s="10" t="s">
        <v>469</v>
      </c>
      <c r="K69" s="11" t="s">
        <v>61</v>
      </c>
      <c r="L69" s="11" t="s">
        <v>62</v>
      </c>
      <c r="M69" s="11" t="s">
        <v>63</v>
      </c>
    </row>
    <row r="70" ht="74" customHeight="1" spans="1:13">
      <c r="A70" s="10" t="s">
        <v>470</v>
      </c>
      <c r="B70" s="10" t="s">
        <v>15</v>
      </c>
      <c r="C70" s="10" t="s">
        <v>471</v>
      </c>
      <c r="D70" s="10" t="s">
        <v>472</v>
      </c>
      <c r="E70" s="10" t="s">
        <v>473</v>
      </c>
      <c r="F70" s="10" t="s">
        <v>474</v>
      </c>
      <c r="G70" s="10" t="s">
        <v>21</v>
      </c>
      <c r="H70" s="10" t="s">
        <v>9</v>
      </c>
      <c r="I70" s="10" t="s">
        <v>475</v>
      </c>
      <c r="J70" s="10" t="s">
        <v>476</v>
      </c>
      <c r="K70" s="11" t="s">
        <v>61</v>
      </c>
      <c r="L70" s="11" t="s">
        <v>62</v>
      </c>
      <c r="M70" s="11" t="s">
        <v>63</v>
      </c>
    </row>
    <row r="71" ht="74" customHeight="1" spans="1:13">
      <c r="A71" s="10" t="s">
        <v>477</v>
      </c>
      <c r="B71" s="10" t="s">
        <v>15</v>
      </c>
      <c r="C71" s="10" t="s">
        <v>478</v>
      </c>
      <c r="D71" s="10" t="s">
        <v>479</v>
      </c>
      <c r="E71" s="10" t="s">
        <v>473</v>
      </c>
      <c r="F71" s="10" t="s">
        <v>480</v>
      </c>
      <c r="G71" s="10" t="s">
        <v>21</v>
      </c>
      <c r="H71" s="10" t="s">
        <v>9</v>
      </c>
      <c r="I71" s="10" t="s">
        <v>481</v>
      </c>
      <c r="J71" s="10" t="s">
        <v>482</v>
      </c>
      <c r="K71" s="11" t="s">
        <v>61</v>
      </c>
      <c r="L71" s="11" t="s">
        <v>62</v>
      </c>
      <c r="M71" s="11" t="s">
        <v>63</v>
      </c>
    </row>
    <row r="72" ht="74" customHeight="1" spans="1:13">
      <c r="A72" s="10" t="s">
        <v>483</v>
      </c>
      <c r="B72" s="10" t="s">
        <v>15</v>
      </c>
      <c r="C72" s="10" t="s">
        <v>484</v>
      </c>
      <c r="D72" s="10" t="s">
        <v>485</v>
      </c>
      <c r="E72" s="10" t="s">
        <v>486</v>
      </c>
      <c r="F72" s="10" t="s">
        <v>487</v>
      </c>
      <c r="G72" s="10" t="s">
        <v>21</v>
      </c>
      <c r="H72" s="10" t="s">
        <v>9</v>
      </c>
      <c r="I72" s="10" t="s">
        <v>488</v>
      </c>
      <c r="J72" s="10" t="s">
        <v>489</v>
      </c>
      <c r="K72" s="11" t="s">
        <v>61</v>
      </c>
      <c r="L72" s="11" t="s">
        <v>62</v>
      </c>
      <c r="M72" s="11" t="s">
        <v>63</v>
      </c>
    </row>
    <row r="73" ht="74" customHeight="1" spans="1:13">
      <c r="A73" s="10" t="s">
        <v>490</v>
      </c>
      <c r="B73" s="10" t="s">
        <v>15</v>
      </c>
      <c r="C73" s="10" t="s">
        <v>491</v>
      </c>
      <c r="D73" s="10" t="s">
        <v>492</v>
      </c>
      <c r="E73" s="10" t="s">
        <v>486</v>
      </c>
      <c r="F73" s="10" t="s">
        <v>493</v>
      </c>
      <c r="G73" s="10" t="s">
        <v>21</v>
      </c>
      <c r="H73" s="10" t="s">
        <v>9</v>
      </c>
      <c r="I73" s="10" t="s">
        <v>494</v>
      </c>
      <c r="J73" s="10" t="s">
        <v>495</v>
      </c>
      <c r="K73" s="11" t="s">
        <v>61</v>
      </c>
      <c r="L73" s="11" t="s">
        <v>62</v>
      </c>
      <c r="M73" s="11" t="s">
        <v>63</v>
      </c>
    </row>
    <row r="74" ht="74" customHeight="1" spans="1:13">
      <c r="A74" s="10" t="s">
        <v>496</v>
      </c>
      <c r="B74" s="10" t="s">
        <v>15</v>
      </c>
      <c r="C74" s="10" t="s">
        <v>497</v>
      </c>
      <c r="D74" s="10" t="s">
        <v>498</v>
      </c>
      <c r="E74" s="10" t="s">
        <v>486</v>
      </c>
      <c r="F74" s="10" t="s">
        <v>493</v>
      </c>
      <c r="G74" s="10" t="s">
        <v>21</v>
      </c>
      <c r="H74" s="10" t="s">
        <v>9</v>
      </c>
      <c r="I74" s="10" t="s">
        <v>499</v>
      </c>
      <c r="J74" s="10" t="s">
        <v>500</v>
      </c>
      <c r="K74" s="11" t="s">
        <v>61</v>
      </c>
      <c r="L74" s="11" t="s">
        <v>62</v>
      </c>
      <c r="M74" s="11" t="s">
        <v>63</v>
      </c>
    </row>
    <row r="75" ht="74" customHeight="1" spans="1:13">
      <c r="A75" s="10" t="s">
        <v>501</v>
      </c>
      <c r="B75" s="10" t="s">
        <v>15</v>
      </c>
      <c r="C75" s="10" t="s">
        <v>502</v>
      </c>
      <c r="D75" s="10" t="s">
        <v>503</v>
      </c>
      <c r="E75" s="10" t="s">
        <v>67</v>
      </c>
      <c r="F75" s="10" t="s">
        <v>493</v>
      </c>
      <c r="G75" s="10" t="s">
        <v>25</v>
      </c>
      <c r="H75" s="10" t="s">
        <v>9</v>
      </c>
      <c r="I75" s="10" t="s">
        <v>504</v>
      </c>
      <c r="J75" s="10" t="s">
        <v>505</v>
      </c>
      <c r="K75" s="11" t="s">
        <v>61</v>
      </c>
      <c r="L75" s="11" t="s">
        <v>62</v>
      </c>
      <c r="M75" s="11" t="s">
        <v>63</v>
      </c>
    </row>
    <row r="76" ht="74" customHeight="1" spans="1:13">
      <c r="A76" s="10" t="s">
        <v>506</v>
      </c>
      <c r="B76" s="10" t="s">
        <v>15</v>
      </c>
      <c r="C76" s="10" t="s">
        <v>507</v>
      </c>
      <c r="D76" s="10" t="s">
        <v>508</v>
      </c>
      <c r="E76" s="10" t="s">
        <v>509</v>
      </c>
      <c r="F76" s="10" t="s">
        <v>510</v>
      </c>
      <c r="G76" s="10" t="s">
        <v>21</v>
      </c>
      <c r="H76" s="10" t="s">
        <v>9</v>
      </c>
      <c r="I76" s="10" t="s">
        <v>511</v>
      </c>
      <c r="J76" s="10" t="s">
        <v>512</v>
      </c>
      <c r="K76" s="11" t="s">
        <v>61</v>
      </c>
      <c r="L76" s="11" t="s">
        <v>62</v>
      </c>
      <c r="M76" s="11" t="s">
        <v>63</v>
      </c>
    </row>
    <row r="77" ht="74" customHeight="1" spans="1:13">
      <c r="A77" s="10" t="s">
        <v>513</v>
      </c>
      <c r="B77" s="10" t="s">
        <v>15</v>
      </c>
      <c r="C77" s="10" t="s">
        <v>514</v>
      </c>
      <c r="D77" s="10" t="s">
        <v>515</v>
      </c>
      <c r="E77" s="10" t="s">
        <v>516</v>
      </c>
      <c r="F77" s="10" t="s">
        <v>517</v>
      </c>
      <c r="G77" s="10" t="s">
        <v>21</v>
      </c>
      <c r="H77" s="10" t="s">
        <v>9</v>
      </c>
      <c r="I77" s="10" t="s">
        <v>518</v>
      </c>
      <c r="J77" s="10" t="s">
        <v>519</v>
      </c>
      <c r="K77" s="11" t="s">
        <v>61</v>
      </c>
      <c r="L77" s="11" t="s">
        <v>62</v>
      </c>
      <c r="M77" s="11" t="s">
        <v>63</v>
      </c>
    </row>
    <row r="78" ht="74" customHeight="1" spans="1:13">
      <c r="A78" s="10" t="s">
        <v>520</v>
      </c>
      <c r="B78" s="10" t="s">
        <v>15</v>
      </c>
      <c r="C78" s="10" t="s">
        <v>521</v>
      </c>
      <c r="D78" s="10" t="s">
        <v>522</v>
      </c>
      <c r="E78" s="10" t="s">
        <v>523</v>
      </c>
      <c r="F78" s="10" t="s">
        <v>524</v>
      </c>
      <c r="G78" s="10" t="s">
        <v>21</v>
      </c>
      <c r="H78" s="10" t="s">
        <v>9</v>
      </c>
      <c r="I78" s="10" t="s">
        <v>525</v>
      </c>
      <c r="J78" s="10" t="s">
        <v>526</v>
      </c>
      <c r="K78" s="11" t="s">
        <v>61</v>
      </c>
      <c r="L78" s="11" t="s">
        <v>62</v>
      </c>
      <c r="M78" s="11" t="s">
        <v>63</v>
      </c>
    </row>
    <row r="79" ht="74" customHeight="1" spans="1:13">
      <c r="A79" s="10" t="s">
        <v>527</v>
      </c>
      <c r="B79" s="10" t="s">
        <v>15</v>
      </c>
      <c r="C79" s="10" t="s">
        <v>528</v>
      </c>
      <c r="D79" s="10" t="s">
        <v>529</v>
      </c>
      <c r="E79" s="10" t="s">
        <v>523</v>
      </c>
      <c r="F79" s="10" t="s">
        <v>524</v>
      </c>
      <c r="G79" s="10" t="s">
        <v>21</v>
      </c>
      <c r="H79" s="10" t="s">
        <v>9</v>
      </c>
      <c r="I79" s="10" t="s">
        <v>530</v>
      </c>
      <c r="J79" s="10" t="s">
        <v>531</v>
      </c>
      <c r="K79" s="11" t="s">
        <v>61</v>
      </c>
      <c r="L79" s="11" t="s">
        <v>62</v>
      </c>
      <c r="M79" s="11" t="s">
        <v>63</v>
      </c>
    </row>
    <row r="80" ht="74" customHeight="1" spans="1:13">
      <c r="A80" s="10" t="s">
        <v>532</v>
      </c>
      <c r="B80" s="10" t="s">
        <v>15</v>
      </c>
      <c r="C80" s="10" t="s">
        <v>533</v>
      </c>
      <c r="D80" s="10" t="s">
        <v>534</v>
      </c>
      <c r="E80" s="10" t="s">
        <v>486</v>
      </c>
      <c r="F80" s="10" t="s">
        <v>535</v>
      </c>
      <c r="G80" s="10" t="s">
        <v>21</v>
      </c>
      <c r="H80" s="10" t="s">
        <v>9</v>
      </c>
      <c r="I80" s="10" t="s">
        <v>536</v>
      </c>
      <c r="J80" s="10" t="s">
        <v>537</v>
      </c>
      <c r="K80" s="11" t="s">
        <v>61</v>
      </c>
      <c r="L80" s="11" t="s">
        <v>62</v>
      </c>
      <c r="M80" s="11" t="s">
        <v>63</v>
      </c>
    </row>
    <row r="81" ht="74" customHeight="1" spans="1:13">
      <c r="A81" s="10" t="s">
        <v>538</v>
      </c>
      <c r="B81" s="10" t="s">
        <v>15</v>
      </c>
      <c r="C81" s="10" t="s">
        <v>539</v>
      </c>
      <c r="D81" s="10" t="s">
        <v>540</v>
      </c>
      <c r="E81" s="10" t="s">
        <v>541</v>
      </c>
      <c r="F81" s="10" t="s">
        <v>542</v>
      </c>
      <c r="G81" s="10" t="s">
        <v>21</v>
      </c>
      <c r="H81" s="10" t="s">
        <v>9</v>
      </c>
      <c r="I81" s="10" t="s">
        <v>543</v>
      </c>
      <c r="J81" s="10" t="s">
        <v>544</v>
      </c>
      <c r="K81" s="11" t="s">
        <v>61</v>
      </c>
      <c r="L81" s="11" t="s">
        <v>62</v>
      </c>
      <c r="M81" s="11" t="s">
        <v>63</v>
      </c>
    </row>
    <row r="82" ht="74" customHeight="1" spans="1:13">
      <c r="A82" s="10" t="s">
        <v>545</v>
      </c>
      <c r="B82" s="10" t="s">
        <v>15</v>
      </c>
      <c r="C82" s="10" t="s">
        <v>546</v>
      </c>
      <c r="D82" s="10" t="s">
        <v>547</v>
      </c>
      <c r="E82" s="10" t="s">
        <v>548</v>
      </c>
      <c r="F82" s="10" t="s">
        <v>542</v>
      </c>
      <c r="G82" s="10" t="s">
        <v>21</v>
      </c>
      <c r="H82" s="10" t="s">
        <v>9</v>
      </c>
      <c r="I82" s="10" t="s">
        <v>549</v>
      </c>
      <c r="J82" s="10" t="s">
        <v>550</v>
      </c>
      <c r="K82" s="11" t="s">
        <v>61</v>
      </c>
      <c r="L82" s="11" t="s">
        <v>62</v>
      </c>
      <c r="M82" s="11" t="s">
        <v>63</v>
      </c>
    </row>
    <row r="83" ht="74" customHeight="1" spans="1:13">
      <c r="A83" s="10" t="s">
        <v>551</v>
      </c>
      <c r="B83" s="10" t="s">
        <v>15</v>
      </c>
      <c r="C83" s="10" t="s">
        <v>552</v>
      </c>
      <c r="D83" s="10" t="s">
        <v>553</v>
      </c>
      <c r="E83" s="10" t="s">
        <v>541</v>
      </c>
      <c r="F83" s="10" t="s">
        <v>542</v>
      </c>
      <c r="G83" s="10" t="s">
        <v>21</v>
      </c>
      <c r="H83" s="10" t="s">
        <v>9</v>
      </c>
      <c r="I83" s="10" t="s">
        <v>554</v>
      </c>
      <c r="J83" s="10" t="s">
        <v>555</v>
      </c>
      <c r="K83" s="11" t="s">
        <v>61</v>
      </c>
      <c r="L83" s="11" t="s">
        <v>62</v>
      </c>
      <c r="M83" s="11" t="s">
        <v>63</v>
      </c>
    </row>
    <row r="84" ht="74" customHeight="1" spans="1:13">
      <c r="A84" s="10" t="s">
        <v>556</v>
      </c>
      <c r="B84" s="10" t="s">
        <v>15</v>
      </c>
      <c r="C84" s="10" t="s">
        <v>557</v>
      </c>
      <c r="D84" s="10" t="s">
        <v>558</v>
      </c>
      <c r="E84" s="10" t="s">
        <v>559</v>
      </c>
      <c r="F84" s="10" t="s">
        <v>560</v>
      </c>
      <c r="G84" s="10" t="s">
        <v>21</v>
      </c>
      <c r="H84" s="10" t="s">
        <v>9</v>
      </c>
      <c r="I84" s="10" t="s">
        <v>561</v>
      </c>
      <c r="J84" s="10" t="s">
        <v>562</v>
      </c>
      <c r="K84" s="11" t="s">
        <v>61</v>
      </c>
      <c r="L84" s="11" t="s">
        <v>62</v>
      </c>
      <c r="M84" s="11" t="s">
        <v>63</v>
      </c>
    </row>
    <row r="85" ht="74" customHeight="1" spans="1:13">
      <c r="A85" s="10" t="s">
        <v>563</v>
      </c>
      <c r="B85" s="10" t="s">
        <v>15</v>
      </c>
      <c r="C85" s="10" t="s">
        <v>564</v>
      </c>
      <c r="D85" s="10" t="s">
        <v>565</v>
      </c>
      <c r="E85" s="10" t="s">
        <v>566</v>
      </c>
      <c r="F85" s="10" t="s">
        <v>560</v>
      </c>
      <c r="G85" s="10" t="s">
        <v>21</v>
      </c>
      <c r="H85" s="10" t="s">
        <v>9</v>
      </c>
      <c r="I85" s="10" t="s">
        <v>567</v>
      </c>
      <c r="J85" s="10" t="s">
        <v>568</v>
      </c>
      <c r="K85" s="11" t="s">
        <v>61</v>
      </c>
      <c r="L85" s="11" t="s">
        <v>62</v>
      </c>
      <c r="M85" s="11" t="s">
        <v>63</v>
      </c>
    </row>
    <row r="86" ht="74" customHeight="1" spans="1:13">
      <c r="A86" s="10" t="s">
        <v>569</v>
      </c>
      <c r="B86" s="10" t="s">
        <v>15</v>
      </c>
      <c r="C86" s="10" t="s">
        <v>570</v>
      </c>
      <c r="D86" s="10" t="s">
        <v>571</v>
      </c>
      <c r="E86" s="10" t="s">
        <v>572</v>
      </c>
      <c r="F86" s="10" t="s">
        <v>573</v>
      </c>
      <c r="G86" s="10" t="s">
        <v>21</v>
      </c>
      <c r="H86" s="10" t="s">
        <v>9</v>
      </c>
      <c r="I86" s="10" t="s">
        <v>574</v>
      </c>
      <c r="J86" s="10" t="s">
        <v>575</v>
      </c>
      <c r="K86" s="11" t="s">
        <v>61</v>
      </c>
      <c r="L86" s="11" t="s">
        <v>62</v>
      </c>
      <c r="M86" s="11" t="s">
        <v>63</v>
      </c>
    </row>
    <row r="87" ht="74" customHeight="1" spans="1:13">
      <c r="A87" s="10" t="s">
        <v>576</v>
      </c>
      <c r="B87" s="10" t="s">
        <v>15</v>
      </c>
      <c r="C87" s="10" t="s">
        <v>577</v>
      </c>
      <c r="D87" s="10" t="s">
        <v>578</v>
      </c>
      <c r="E87" s="10" t="s">
        <v>473</v>
      </c>
      <c r="F87" s="10" t="s">
        <v>579</v>
      </c>
      <c r="G87" s="10" t="s">
        <v>21</v>
      </c>
      <c r="H87" s="10" t="s">
        <v>10</v>
      </c>
      <c r="I87" s="10" t="s">
        <v>580</v>
      </c>
      <c r="J87" s="10" t="s">
        <v>581</v>
      </c>
      <c r="K87" s="11" t="s">
        <v>61</v>
      </c>
      <c r="L87" s="11" t="s">
        <v>62</v>
      </c>
      <c r="M87" s="11" t="s">
        <v>63</v>
      </c>
    </row>
    <row r="88" ht="74" customHeight="1" spans="1:13">
      <c r="A88" s="10" t="s">
        <v>582</v>
      </c>
      <c r="B88" s="10" t="s">
        <v>15</v>
      </c>
      <c r="C88" s="10" t="s">
        <v>583</v>
      </c>
      <c r="D88" s="10" t="s">
        <v>584</v>
      </c>
      <c r="E88" s="10" t="s">
        <v>473</v>
      </c>
      <c r="F88" s="10" t="s">
        <v>579</v>
      </c>
      <c r="G88" s="10" t="s">
        <v>21</v>
      </c>
      <c r="H88" s="10" t="s">
        <v>10</v>
      </c>
      <c r="I88" s="10" t="s">
        <v>585</v>
      </c>
      <c r="J88" s="10" t="s">
        <v>586</v>
      </c>
      <c r="K88" s="11" t="s">
        <v>61</v>
      </c>
      <c r="L88" s="11" t="s">
        <v>62</v>
      </c>
      <c r="M88" s="11" t="s">
        <v>63</v>
      </c>
    </row>
    <row r="89" ht="74" customHeight="1" spans="1:13">
      <c r="A89" s="10" t="s">
        <v>587</v>
      </c>
      <c r="B89" s="10" t="s">
        <v>15</v>
      </c>
      <c r="C89" s="10" t="s">
        <v>588</v>
      </c>
      <c r="D89" s="10" t="s">
        <v>589</v>
      </c>
      <c r="E89" s="10" t="s">
        <v>473</v>
      </c>
      <c r="F89" s="10" t="s">
        <v>579</v>
      </c>
      <c r="G89" s="10" t="s">
        <v>21</v>
      </c>
      <c r="H89" s="10" t="s">
        <v>9</v>
      </c>
      <c r="I89" s="10" t="s">
        <v>590</v>
      </c>
      <c r="J89" s="10" t="s">
        <v>591</v>
      </c>
      <c r="K89" s="11" t="s">
        <v>61</v>
      </c>
      <c r="L89" s="11" t="s">
        <v>62</v>
      </c>
      <c r="M89" s="11" t="s">
        <v>63</v>
      </c>
    </row>
    <row r="90" ht="74" customHeight="1" spans="1:13">
      <c r="A90" s="10" t="s">
        <v>592</v>
      </c>
      <c r="B90" s="10" t="s">
        <v>15</v>
      </c>
      <c r="C90" s="10" t="s">
        <v>593</v>
      </c>
      <c r="D90" s="10" t="s">
        <v>594</v>
      </c>
      <c r="E90" s="10" t="s">
        <v>572</v>
      </c>
      <c r="F90" s="10" t="s">
        <v>595</v>
      </c>
      <c r="G90" s="10" t="s">
        <v>23</v>
      </c>
      <c r="H90" s="10" t="s">
        <v>9</v>
      </c>
      <c r="I90" s="10" t="s">
        <v>596</v>
      </c>
      <c r="J90" s="10" t="s">
        <v>597</v>
      </c>
      <c r="K90" s="11" t="s">
        <v>61</v>
      </c>
      <c r="L90" s="11" t="s">
        <v>62</v>
      </c>
      <c r="M90" s="11" t="s">
        <v>63</v>
      </c>
    </row>
    <row r="91" ht="74" customHeight="1" spans="1:13">
      <c r="A91" s="10" t="s">
        <v>598</v>
      </c>
      <c r="B91" s="10" t="s">
        <v>15</v>
      </c>
      <c r="C91" s="10" t="s">
        <v>599</v>
      </c>
      <c r="D91" s="10" t="s">
        <v>600</v>
      </c>
      <c r="E91" s="10" t="s">
        <v>486</v>
      </c>
      <c r="F91" s="10" t="s">
        <v>595</v>
      </c>
      <c r="G91" s="10" t="s">
        <v>21</v>
      </c>
      <c r="H91" s="10" t="s">
        <v>9</v>
      </c>
      <c r="I91" s="10" t="s">
        <v>601</v>
      </c>
      <c r="J91" s="10" t="s">
        <v>602</v>
      </c>
      <c r="K91" s="11" t="s">
        <v>61</v>
      </c>
      <c r="L91" s="11" t="s">
        <v>62</v>
      </c>
      <c r="M91" s="11" t="s">
        <v>63</v>
      </c>
    </row>
    <row r="92" ht="74" customHeight="1" spans="1:13">
      <c r="A92" s="10" t="s">
        <v>603</v>
      </c>
      <c r="B92" s="10" t="s">
        <v>15</v>
      </c>
      <c r="C92" s="10" t="s">
        <v>604</v>
      </c>
      <c r="D92" s="10" t="s">
        <v>605</v>
      </c>
      <c r="E92" s="10" t="s">
        <v>486</v>
      </c>
      <c r="F92" s="10" t="s">
        <v>595</v>
      </c>
      <c r="G92" s="10" t="s">
        <v>21</v>
      </c>
      <c r="H92" s="10" t="s">
        <v>9</v>
      </c>
      <c r="I92" s="10" t="s">
        <v>606</v>
      </c>
      <c r="J92" s="10" t="s">
        <v>607</v>
      </c>
      <c r="K92" s="11" t="s">
        <v>61</v>
      </c>
      <c r="L92" s="11" t="s">
        <v>62</v>
      </c>
      <c r="M92" s="11" t="s">
        <v>63</v>
      </c>
    </row>
    <row r="93" ht="74" customHeight="1" spans="1:13">
      <c r="A93" s="10" t="s">
        <v>608</v>
      </c>
      <c r="B93" s="10" t="s">
        <v>15</v>
      </c>
      <c r="C93" s="10" t="s">
        <v>609</v>
      </c>
      <c r="D93" s="10" t="s">
        <v>610</v>
      </c>
      <c r="E93" s="10" t="s">
        <v>611</v>
      </c>
      <c r="F93" s="10" t="s">
        <v>612</v>
      </c>
      <c r="G93" s="10" t="s">
        <v>23</v>
      </c>
      <c r="H93" s="10" t="s">
        <v>9</v>
      </c>
      <c r="I93" s="10" t="s">
        <v>613</v>
      </c>
      <c r="J93" s="10" t="s">
        <v>614</v>
      </c>
      <c r="K93" s="11" t="s">
        <v>61</v>
      </c>
      <c r="L93" s="11" t="s">
        <v>62</v>
      </c>
      <c r="M93" s="11" t="s">
        <v>63</v>
      </c>
    </row>
    <row r="94" ht="74" customHeight="1" spans="1:13">
      <c r="A94" s="10" t="s">
        <v>615</v>
      </c>
      <c r="B94" s="10" t="s">
        <v>15</v>
      </c>
      <c r="C94" s="10" t="s">
        <v>616</v>
      </c>
      <c r="D94" s="10" t="s">
        <v>617</v>
      </c>
      <c r="E94" s="10" t="s">
        <v>523</v>
      </c>
      <c r="F94" s="10" t="s">
        <v>493</v>
      </c>
      <c r="G94" s="10" t="s">
        <v>21</v>
      </c>
      <c r="H94" s="10" t="s">
        <v>9</v>
      </c>
      <c r="I94" s="10" t="s">
        <v>618</v>
      </c>
      <c r="J94" s="10" t="s">
        <v>619</v>
      </c>
      <c r="K94" s="11" t="s">
        <v>61</v>
      </c>
      <c r="L94" s="11" t="s">
        <v>62</v>
      </c>
      <c r="M94" s="11" t="s">
        <v>63</v>
      </c>
    </row>
    <row r="95" ht="74" customHeight="1" spans="1:13">
      <c r="A95" s="10" t="s">
        <v>620</v>
      </c>
      <c r="B95" s="10" t="s">
        <v>16</v>
      </c>
      <c r="C95" s="10" t="s">
        <v>621</v>
      </c>
      <c r="D95" s="10" t="s">
        <v>622</v>
      </c>
      <c r="E95" s="10" t="s">
        <v>623</v>
      </c>
      <c r="F95" s="10" t="s">
        <v>624</v>
      </c>
      <c r="G95" s="10" t="s">
        <v>21</v>
      </c>
      <c r="H95" s="10" t="s">
        <v>9</v>
      </c>
      <c r="I95" s="10" t="s">
        <v>625</v>
      </c>
      <c r="J95" s="10" t="s">
        <v>626</v>
      </c>
      <c r="K95" s="11" t="s">
        <v>61</v>
      </c>
      <c r="L95" s="11" t="s">
        <v>62</v>
      </c>
      <c r="M95" s="11" t="s">
        <v>63</v>
      </c>
    </row>
    <row r="96" ht="74" customHeight="1" spans="1:13">
      <c r="A96" s="10" t="s">
        <v>627</v>
      </c>
      <c r="B96" s="10" t="s">
        <v>16</v>
      </c>
      <c r="C96" s="10" t="s">
        <v>628</v>
      </c>
      <c r="D96" s="10" t="s">
        <v>629</v>
      </c>
      <c r="E96" s="10" t="s">
        <v>630</v>
      </c>
      <c r="F96" s="10" t="s">
        <v>631</v>
      </c>
      <c r="G96" s="10" t="s">
        <v>21</v>
      </c>
      <c r="H96" s="10" t="s">
        <v>9</v>
      </c>
      <c r="I96" s="10" t="s">
        <v>632</v>
      </c>
      <c r="J96" s="10" t="s">
        <v>633</v>
      </c>
      <c r="K96" s="11" t="s">
        <v>61</v>
      </c>
      <c r="L96" s="11" t="s">
        <v>62</v>
      </c>
      <c r="M96" s="11" t="s">
        <v>63</v>
      </c>
    </row>
    <row r="97" ht="74" customHeight="1" spans="1:13">
      <c r="A97" s="10" t="s">
        <v>634</v>
      </c>
      <c r="B97" s="10" t="s">
        <v>16</v>
      </c>
      <c r="C97" s="10" t="s">
        <v>635</v>
      </c>
      <c r="D97" s="10" t="s">
        <v>636</v>
      </c>
      <c r="E97" s="10" t="s">
        <v>637</v>
      </c>
      <c r="F97" s="10" t="s">
        <v>638</v>
      </c>
      <c r="G97" s="10" t="s">
        <v>21</v>
      </c>
      <c r="H97" s="10" t="s">
        <v>10</v>
      </c>
      <c r="I97" s="10" t="s">
        <v>639</v>
      </c>
      <c r="J97" s="10" t="s">
        <v>640</v>
      </c>
      <c r="K97" s="11" t="s">
        <v>61</v>
      </c>
      <c r="L97" s="11" t="s">
        <v>62</v>
      </c>
      <c r="M97" s="11" t="s">
        <v>63</v>
      </c>
    </row>
    <row r="98" ht="74" customHeight="1" spans="1:13">
      <c r="A98" s="10" t="s">
        <v>641</v>
      </c>
      <c r="B98" s="10" t="s">
        <v>16</v>
      </c>
      <c r="C98" s="10" t="s">
        <v>642</v>
      </c>
      <c r="D98" s="10" t="s">
        <v>643</v>
      </c>
      <c r="E98" s="10" t="s">
        <v>644</v>
      </c>
      <c r="F98" s="10" t="s">
        <v>645</v>
      </c>
      <c r="G98" s="10" t="s">
        <v>21</v>
      </c>
      <c r="H98" s="10" t="s">
        <v>9</v>
      </c>
      <c r="I98" s="10" t="s">
        <v>646</v>
      </c>
      <c r="J98" s="10" t="s">
        <v>647</v>
      </c>
      <c r="K98" s="11" t="s">
        <v>61</v>
      </c>
      <c r="L98" s="11" t="s">
        <v>62</v>
      </c>
      <c r="M98" s="11" t="s">
        <v>63</v>
      </c>
    </row>
    <row r="99" ht="74" customHeight="1" spans="1:13">
      <c r="A99" s="10" t="s">
        <v>648</v>
      </c>
      <c r="B99" s="10" t="s">
        <v>16</v>
      </c>
      <c r="C99" s="10" t="s">
        <v>649</v>
      </c>
      <c r="D99" s="10" t="s">
        <v>650</v>
      </c>
      <c r="E99" s="10" t="s">
        <v>644</v>
      </c>
      <c r="F99" s="10" t="s">
        <v>651</v>
      </c>
      <c r="G99" s="10" t="s">
        <v>21</v>
      </c>
      <c r="H99" s="10" t="s">
        <v>9</v>
      </c>
      <c r="I99" s="10" t="s">
        <v>652</v>
      </c>
      <c r="J99" s="10" t="s">
        <v>653</v>
      </c>
      <c r="K99" s="11" t="s">
        <v>61</v>
      </c>
      <c r="L99" s="11" t="s">
        <v>62</v>
      </c>
      <c r="M99" s="11" t="s">
        <v>63</v>
      </c>
    </row>
    <row r="100" ht="74" customHeight="1" spans="1:13">
      <c r="A100" s="10" t="s">
        <v>654</v>
      </c>
      <c r="B100" s="10" t="s">
        <v>16</v>
      </c>
      <c r="C100" s="10" t="s">
        <v>655</v>
      </c>
      <c r="D100" s="10" t="s">
        <v>656</v>
      </c>
      <c r="E100" s="10" t="s">
        <v>657</v>
      </c>
      <c r="F100" s="10" t="s">
        <v>651</v>
      </c>
      <c r="G100" s="10" t="s">
        <v>21</v>
      </c>
      <c r="H100" s="10" t="s">
        <v>9</v>
      </c>
      <c r="I100" s="10" t="s">
        <v>658</v>
      </c>
      <c r="J100" s="10" t="s">
        <v>659</v>
      </c>
      <c r="K100" s="11" t="s">
        <v>61</v>
      </c>
      <c r="L100" s="11" t="s">
        <v>62</v>
      </c>
      <c r="M100" s="11" t="s">
        <v>63</v>
      </c>
    </row>
    <row r="101" ht="74" customHeight="1" spans="1:13">
      <c r="A101" s="10" t="s">
        <v>660</v>
      </c>
      <c r="B101" s="10" t="s">
        <v>16</v>
      </c>
      <c r="C101" s="10" t="s">
        <v>661</v>
      </c>
      <c r="D101" s="10" t="s">
        <v>662</v>
      </c>
      <c r="E101" s="10" t="s">
        <v>644</v>
      </c>
      <c r="F101" s="10" t="s">
        <v>651</v>
      </c>
      <c r="G101" s="10" t="s">
        <v>21</v>
      </c>
      <c r="H101" s="10" t="s">
        <v>9</v>
      </c>
      <c r="I101" s="10" t="s">
        <v>663</v>
      </c>
      <c r="J101" s="10" t="s">
        <v>664</v>
      </c>
      <c r="K101" s="11" t="s">
        <v>61</v>
      </c>
      <c r="L101" s="11" t="s">
        <v>62</v>
      </c>
      <c r="M101" s="11" t="s">
        <v>63</v>
      </c>
    </row>
    <row r="102" ht="74" customHeight="1" spans="1:13">
      <c r="A102" s="10" t="s">
        <v>665</v>
      </c>
      <c r="B102" s="10" t="s">
        <v>16</v>
      </c>
      <c r="C102" s="10" t="s">
        <v>666</v>
      </c>
      <c r="D102" s="10" t="s">
        <v>667</v>
      </c>
      <c r="E102" s="10" t="s">
        <v>644</v>
      </c>
      <c r="F102" s="10" t="s">
        <v>668</v>
      </c>
      <c r="G102" s="10" t="s">
        <v>21</v>
      </c>
      <c r="H102" s="10" t="s">
        <v>9</v>
      </c>
      <c r="I102" s="10" t="s">
        <v>669</v>
      </c>
      <c r="J102" s="10" t="s">
        <v>670</v>
      </c>
      <c r="K102" s="11" t="s">
        <v>61</v>
      </c>
      <c r="L102" s="11" t="s">
        <v>62</v>
      </c>
      <c r="M102" s="11" t="s">
        <v>63</v>
      </c>
    </row>
    <row r="103" ht="74" customHeight="1" spans="1:13">
      <c r="A103" s="10" t="s">
        <v>671</v>
      </c>
      <c r="B103" s="10" t="s">
        <v>16</v>
      </c>
      <c r="C103" s="10" t="s">
        <v>672</v>
      </c>
      <c r="D103" s="10" t="s">
        <v>673</v>
      </c>
      <c r="E103" s="10" t="s">
        <v>644</v>
      </c>
      <c r="F103" s="10" t="s">
        <v>668</v>
      </c>
      <c r="G103" s="10" t="s">
        <v>21</v>
      </c>
      <c r="H103" s="10" t="s">
        <v>9</v>
      </c>
      <c r="I103" s="10" t="s">
        <v>674</v>
      </c>
      <c r="J103" s="10" t="s">
        <v>675</v>
      </c>
      <c r="K103" s="11" t="s">
        <v>61</v>
      </c>
      <c r="L103" s="11" t="s">
        <v>62</v>
      </c>
      <c r="M103" s="11" t="s">
        <v>63</v>
      </c>
    </row>
    <row r="104" ht="74" customHeight="1" spans="1:13">
      <c r="A104" s="10" t="s">
        <v>676</v>
      </c>
      <c r="B104" s="10" t="s">
        <v>16</v>
      </c>
      <c r="C104" s="10" t="s">
        <v>677</v>
      </c>
      <c r="D104" s="10" t="s">
        <v>678</v>
      </c>
      <c r="E104" s="10" t="s">
        <v>630</v>
      </c>
      <c r="F104" s="10" t="s">
        <v>638</v>
      </c>
      <c r="G104" s="10" t="s">
        <v>21</v>
      </c>
      <c r="H104" s="10" t="s">
        <v>9</v>
      </c>
      <c r="I104" s="10" t="s">
        <v>679</v>
      </c>
      <c r="J104" s="10" t="s">
        <v>680</v>
      </c>
      <c r="K104" s="11" t="s">
        <v>61</v>
      </c>
      <c r="L104" s="11" t="s">
        <v>62</v>
      </c>
      <c r="M104" s="11" t="s">
        <v>63</v>
      </c>
    </row>
    <row r="105" ht="74" customHeight="1" spans="1:13">
      <c r="A105" s="10" t="s">
        <v>681</v>
      </c>
      <c r="B105" s="10" t="s">
        <v>16</v>
      </c>
      <c r="C105" s="10" t="s">
        <v>682</v>
      </c>
      <c r="D105" s="10" t="s">
        <v>683</v>
      </c>
      <c r="E105" s="10" t="s">
        <v>644</v>
      </c>
      <c r="F105" s="10" t="s">
        <v>684</v>
      </c>
      <c r="G105" s="10" t="s">
        <v>21</v>
      </c>
      <c r="H105" s="10" t="s">
        <v>10</v>
      </c>
      <c r="I105" s="10" t="s">
        <v>685</v>
      </c>
      <c r="J105" s="10" t="s">
        <v>686</v>
      </c>
      <c r="K105" s="11" t="s">
        <v>61</v>
      </c>
      <c r="L105" s="11" t="s">
        <v>62</v>
      </c>
      <c r="M105" s="11" t="s">
        <v>63</v>
      </c>
    </row>
    <row r="106" ht="74" customHeight="1" spans="1:13">
      <c r="A106" s="10" t="s">
        <v>687</v>
      </c>
      <c r="B106" s="10" t="s">
        <v>16</v>
      </c>
      <c r="C106" s="10" t="s">
        <v>688</v>
      </c>
      <c r="D106" s="10" t="s">
        <v>689</v>
      </c>
      <c r="E106" s="10" t="s">
        <v>644</v>
      </c>
      <c r="F106" s="10" t="s">
        <v>684</v>
      </c>
      <c r="G106" s="10" t="s">
        <v>21</v>
      </c>
      <c r="H106" s="10" t="s">
        <v>10</v>
      </c>
      <c r="I106" s="10" t="s">
        <v>690</v>
      </c>
      <c r="J106" s="10" t="s">
        <v>691</v>
      </c>
      <c r="K106" s="11" t="s">
        <v>61</v>
      </c>
      <c r="L106" s="11" t="s">
        <v>62</v>
      </c>
      <c r="M106" s="11" t="s">
        <v>63</v>
      </c>
    </row>
    <row r="107" ht="74" customHeight="1" spans="1:13">
      <c r="A107" s="10" t="s">
        <v>692</v>
      </c>
      <c r="B107" s="10" t="s">
        <v>16</v>
      </c>
      <c r="C107" s="10" t="s">
        <v>693</v>
      </c>
      <c r="D107" s="10" t="s">
        <v>694</v>
      </c>
      <c r="E107" s="10" t="s">
        <v>637</v>
      </c>
      <c r="F107" s="10" t="s">
        <v>695</v>
      </c>
      <c r="G107" s="10" t="s">
        <v>21</v>
      </c>
      <c r="H107" s="10" t="s">
        <v>10</v>
      </c>
      <c r="I107" s="10" t="s">
        <v>696</v>
      </c>
      <c r="J107" s="10" t="s">
        <v>697</v>
      </c>
      <c r="K107" s="11" t="s">
        <v>61</v>
      </c>
      <c r="L107" s="11" t="s">
        <v>62</v>
      </c>
      <c r="M107" s="11" t="s">
        <v>63</v>
      </c>
    </row>
    <row r="108" ht="74" customHeight="1" spans="1:13">
      <c r="A108" s="10" t="s">
        <v>698</v>
      </c>
      <c r="B108" s="10" t="s">
        <v>16</v>
      </c>
      <c r="C108" s="10" t="s">
        <v>699</v>
      </c>
      <c r="D108" s="10" t="s">
        <v>700</v>
      </c>
      <c r="E108" s="10" t="s">
        <v>637</v>
      </c>
      <c r="F108" s="10" t="s">
        <v>695</v>
      </c>
      <c r="G108" s="10" t="s">
        <v>21</v>
      </c>
      <c r="H108" s="10" t="s">
        <v>9</v>
      </c>
      <c r="I108" s="10" t="s">
        <v>701</v>
      </c>
      <c r="J108" s="10" t="s">
        <v>702</v>
      </c>
      <c r="K108" s="11" t="s">
        <v>61</v>
      </c>
      <c r="L108" s="11" t="s">
        <v>62</v>
      </c>
      <c r="M108" s="11" t="s">
        <v>63</v>
      </c>
    </row>
    <row r="109" ht="74" customHeight="1" spans="1:13">
      <c r="A109" s="10" t="s">
        <v>703</v>
      </c>
      <c r="B109" s="10" t="s">
        <v>16</v>
      </c>
      <c r="C109" s="10" t="s">
        <v>704</v>
      </c>
      <c r="D109" s="10" t="s">
        <v>705</v>
      </c>
      <c r="E109" s="10" t="s">
        <v>706</v>
      </c>
      <c r="F109" s="10" t="s">
        <v>707</v>
      </c>
      <c r="G109" s="10" t="s">
        <v>23</v>
      </c>
      <c r="H109" s="10" t="s">
        <v>9</v>
      </c>
      <c r="I109" s="10" t="s">
        <v>708</v>
      </c>
      <c r="J109" s="10" t="s">
        <v>709</v>
      </c>
      <c r="K109" s="11" t="s">
        <v>61</v>
      </c>
      <c r="L109" s="11" t="s">
        <v>62</v>
      </c>
      <c r="M109" s="11" t="s">
        <v>63</v>
      </c>
    </row>
    <row r="110" ht="74" customHeight="1" spans="1:13">
      <c r="A110" s="10" t="s">
        <v>710</v>
      </c>
      <c r="B110" s="10" t="s">
        <v>17</v>
      </c>
      <c r="C110" s="10" t="s">
        <v>711</v>
      </c>
      <c r="D110" s="10" t="s">
        <v>712</v>
      </c>
      <c r="E110" s="10" t="s">
        <v>713</v>
      </c>
      <c r="F110" s="10" t="s">
        <v>714</v>
      </c>
      <c r="G110" s="10" t="s">
        <v>21</v>
      </c>
      <c r="H110" s="10" t="s">
        <v>10</v>
      </c>
      <c r="I110" s="10" t="s">
        <v>715</v>
      </c>
      <c r="J110" s="10" t="s">
        <v>716</v>
      </c>
      <c r="K110" s="11" t="s">
        <v>61</v>
      </c>
      <c r="L110" s="11" t="s">
        <v>62</v>
      </c>
      <c r="M110" s="11" t="s">
        <v>63</v>
      </c>
    </row>
    <row r="111" ht="74" customHeight="1" spans="1:13">
      <c r="A111" s="10" t="s">
        <v>717</v>
      </c>
      <c r="B111" s="10" t="s">
        <v>17</v>
      </c>
      <c r="C111" s="10" t="s">
        <v>718</v>
      </c>
      <c r="D111" s="10" t="s">
        <v>719</v>
      </c>
      <c r="E111" s="10" t="s">
        <v>720</v>
      </c>
      <c r="F111" s="10" t="s">
        <v>721</v>
      </c>
      <c r="G111" s="10" t="s">
        <v>21</v>
      </c>
      <c r="H111" s="10" t="s">
        <v>10</v>
      </c>
      <c r="I111" s="10" t="s">
        <v>722</v>
      </c>
      <c r="J111" s="10" t="s">
        <v>723</v>
      </c>
      <c r="K111" s="11" t="s">
        <v>61</v>
      </c>
      <c r="L111" s="11" t="s">
        <v>62</v>
      </c>
      <c r="M111" s="11" t="s">
        <v>63</v>
      </c>
    </row>
    <row r="112" ht="74" customHeight="1" spans="1:13">
      <c r="A112" s="10" t="s">
        <v>724</v>
      </c>
      <c r="B112" s="10" t="s">
        <v>17</v>
      </c>
      <c r="C112" s="10" t="s">
        <v>725</v>
      </c>
      <c r="D112" s="10" t="s">
        <v>726</v>
      </c>
      <c r="E112" s="10" t="s">
        <v>727</v>
      </c>
      <c r="F112" s="10" t="s">
        <v>728</v>
      </c>
      <c r="G112" s="10" t="s">
        <v>21</v>
      </c>
      <c r="H112" s="10" t="s">
        <v>10</v>
      </c>
      <c r="I112" s="10" t="s">
        <v>729</v>
      </c>
      <c r="J112" s="10" t="s">
        <v>730</v>
      </c>
      <c r="K112" s="11" t="s">
        <v>61</v>
      </c>
      <c r="L112" s="11" t="s">
        <v>62</v>
      </c>
      <c r="M112" s="11" t="s">
        <v>63</v>
      </c>
    </row>
    <row r="113" ht="74" customHeight="1" spans="1:13">
      <c r="A113" s="10" t="s">
        <v>731</v>
      </c>
      <c r="B113" s="10" t="s">
        <v>17</v>
      </c>
      <c r="C113" s="10" t="s">
        <v>732</v>
      </c>
      <c r="D113" s="10" t="s">
        <v>733</v>
      </c>
      <c r="E113" s="10" t="s">
        <v>734</v>
      </c>
      <c r="F113" s="10" t="s">
        <v>735</v>
      </c>
      <c r="G113" s="10" t="s">
        <v>21</v>
      </c>
      <c r="H113" s="10" t="s">
        <v>10</v>
      </c>
      <c r="I113" s="10" t="s">
        <v>736</v>
      </c>
      <c r="J113" s="10" t="s">
        <v>737</v>
      </c>
      <c r="K113" s="11" t="s">
        <v>61</v>
      </c>
      <c r="L113" s="11" t="s">
        <v>62</v>
      </c>
      <c r="M113" s="11" t="s">
        <v>63</v>
      </c>
    </row>
    <row r="114" ht="74" customHeight="1" spans="1:13">
      <c r="A114" s="10" t="s">
        <v>738</v>
      </c>
      <c r="B114" s="10" t="s">
        <v>17</v>
      </c>
      <c r="C114" s="10" t="s">
        <v>739</v>
      </c>
      <c r="D114" s="10" t="s">
        <v>740</v>
      </c>
      <c r="E114" s="10" t="s">
        <v>741</v>
      </c>
      <c r="F114" s="10" t="s">
        <v>742</v>
      </c>
      <c r="G114" s="10" t="s">
        <v>21</v>
      </c>
      <c r="H114" s="10" t="s">
        <v>10</v>
      </c>
      <c r="I114" s="10" t="s">
        <v>743</v>
      </c>
      <c r="J114" s="10" t="s">
        <v>744</v>
      </c>
      <c r="K114" s="11" t="s">
        <v>61</v>
      </c>
      <c r="L114" s="11" t="s">
        <v>62</v>
      </c>
      <c r="M114" s="11" t="s">
        <v>63</v>
      </c>
    </row>
    <row r="115" ht="74" customHeight="1" spans="1:13">
      <c r="A115" s="10" t="s">
        <v>745</v>
      </c>
      <c r="B115" s="10" t="s">
        <v>17</v>
      </c>
      <c r="C115" s="10" t="s">
        <v>746</v>
      </c>
      <c r="D115" s="10" t="s">
        <v>747</v>
      </c>
      <c r="E115" s="10" t="s">
        <v>713</v>
      </c>
      <c r="F115" s="10" t="s">
        <v>624</v>
      </c>
      <c r="G115" s="10" t="s">
        <v>21</v>
      </c>
      <c r="H115" s="10" t="s">
        <v>10</v>
      </c>
      <c r="I115" s="10" t="s">
        <v>748</v>
      </c>
      <c r="J115" s="10" t="s">
        <v>749</v>
      </c>
      <c r="K115" s="11" t="s">
        <v>61</v>
      </c>
      <c r="L115" s="11" t="s">
        <v>62</v>
      </c>
      <c r="M115" s="11" t="s">
        <v>63</v>
      </c>
    </row>
    <row r="116" ht="74" customHeight="1" spans="1:13">
      <c r="A116" s="10" t="s">
        <v>750</v>
      </c>
      <c r="B116" s="10" t="s">
        <v>17</v>
      </c>
      <c r="C116" s="10" t="s">
        <v>751</v>
      </c>
      <c r="D116" s="10" t="s">
        <v>752</v>
      </c>
      <c r="E116" s="10" t="s">
        <v>473</v>
      </c>
      <c r="F116" s="10" t="s">
        <v>753</v>
      </c>
      <c r="G116" s="10" t="s">
        <v>21</v>
      </c>
      <c r="H116" s="10" t="s">
        <v>10</v>
      </c>
      <c r="I116" s="10" t="s">
        <v>754</v>
      </c>
      <c r="J116" s="10" t="s">
        <v>755</v>
      </c>
      <c r="K116" s="11" t="s">
        <v>61</v>
      </c>
      <c r="L116" s="11" t="s">
        <v>62</v>
      </c>
      <c r="M116" s="11" t="s">
        <v>63</v>
      </c>
    </row>
    <row r="117" ht="74" customHeight="1" spans="1:13">
      <c r="A117" s="10" t="s">
        <v>756</v>
      </c>
      <c r="B117" s="10" t="s">
        <v>17</v>
      </c>
      <c r="C117" s="10" t="s">
        <v>757</v>
      </c>
      <c r="D117" s="10" t="s">
        <v>758</v>
      </c>
      <c r="E117" s="10" t="s">
        <v>759</v>
      </c>
      <c r="F117" s="10" t="s">
        <v>760</v>
      </c>
      <c r="G117" s="10" t="s">
        <v>21</v>
      </c>
      <c r="H117" s="10" t="s">
        <v>10</v>
      </c>
      <c r="I117" s="10" t="s">
        <v>761</v>
      </c>
      <c r="J117" s="10" t="s">
        <v>762</v>
      </c>
      <c r="K117" s="11" t="s">
        <v>61</v>
      </c>
      <c r="L117" s="11" t="s">
        <v>62</v>
      </c>
      <c r="M117" s="11" t="s">
        <v>63</v>
      </c>
    </row>
    <row r="118" ht="74" customHeight="1" spans="1:13">
      <c r="A118" s="10" t="s">
        <v>763</v>
      </c>
      <c r="B118" s="10" t="s">
        <v>17</v>
      </c>
      <c r="C118" s="10" t="s">
        <v>764</v>
      </c>
      <c r="D118" s="10" t="s">
        <v>765</v>
      </c>
      <c r="E118" s="10" t="s">
        <v>434</v>
      </c>
      <c r="F118" s="10" t="s">
        <v>766</v>
      </c>
      <c r="G118" s="10" t="s">
        <v>21</v>
      </c>
      <c r="H118" s="10" t="s">
        <v>10</v>
      </c>
      <c r="I118" s="10" t="s">
        <v>767</v>
      </c>
      <c r="J118" s="10" t="s">
        <v>768</v>
      </c>
      <c r="K118" s="11" t="s">
        <v>61</v>
      </c>
      <c r="L118" s="11" t="s">
        <v>62</v>
      </c>
      <c r="M118" s="11" t="s">
        <v>63</v>
      </c>
    </row>
    <row r="119" ht="74" customHeight="1" spans="1:13">
      <c r="A119" s="10" t="s">
        <v>769</v>
      </c>
      <c r="B119" s="10" t="s">
        <v>18</v>
      </c>
      <c r="C119" s="10" t="s">
        <v>770</v>
      </c>
      <c r="D119" s="10" t="s">
        <v>771</v>
      </c>
      <c r="E119" s="10" t="s">
        <v>772</v>
      </c>
      <c r="F119" s="10" t="s">
        <v>773</v>
      </c>
      <c r="G119" s="10" t="s">
        <v>21</v>
      </c>
      <c r="H119" s="10" t="s">
        <v>9</v>
      </c>
      <c r="I119" s="10" t="s">
        <v>774</v>
      </c>
      <c r="J119" s="10" t="s">
        <v>775</v>
      </c>
      <c r="K119" s="11" t="s">
        <v>61</v>
      </c>
      <c r="L119" s="11" t="s">
        <v>62</v>
      </c>
      <c r="M119" s="11" t="s">
        <v>63</v>
      </c>
    </row>
    <row r="120" ht="74" customHeight="1" spans="1:13">
      <c r="A120" s="10" t="s">
        <v>776</v>
      </c>
      <c r="B120" s="10" t="s">
        <v>18</v>
      </c>
      <c r="C120" s="10" t="s">
        <v>777</v>
      </c>
      <c r="D120" s="10" t="s">
        <v>778</v>
      </c>
      <c r="E120" s="10" t="s">
        <v>779</v>
      </c>
      <c r="F120" s="10" t="s">
        <v>773</v>
      </c>
      <c r="G120" s="10" t="s">
        <v>21</v>
      </c>
      <c r="H120" s="10" t="s">
        <v>9</v>
      </c>
      <c r="I120" s="10" t="s">
        <v>780</v>
      </c>
      <c r="J120" s="10" t="s">
        <v>781</v>
      </c>
      <c r="K120" s="11" t="s">
        <v>61</v>
      </c>
      <c r="L120" s="11" t="s">
        <v>62</v>
      </c>
      <c r="M120" s="11" t="s">
        <v>63</v>
      </c>
    </row>
    <row r="121" ht="74" customHeight="1" spans="1:13">
      <c r="A121" s="10" t="s">
        <v>782</v>
      </c>
      <c r="B121" s="10" t="s">
        <v>18</v>
      </c>
      <c r="C121" s="10" t="s">
        <v>783</v>
      </c>
      <c r="D121" s="10" t="s">
        <v>784</v>
      </c>
      <c r="E121" s="10" t="s">
        <v>785</v>
      </c>
      <c r="F121" s="10" t="s">
        <v>786</v>
      </c>
      <c r="G121" s="10" t="s">
        <v>21</v>
      </c>
      <c r="H121" s="10" t="s">
        <v>9</v>
      </c>
      <c r="I121" s="10" t="s">
        <v>787</v>
      </c>
      <c r="J121" s="10" t="s">
        <v>788</v>
      </c>
      <c r="K121" s="11" t="s">
        <v>61</v>
      </c>
      <c r="L121" s="11" t="s">
        <v>62</v>
      </c>
      <c r="M121" s="11" t="s">
        <v>63</v>
      </c>
    </row>
    <row r="122" ht="74" customHeight="1" spans="1:13">
      <c r="A122" s="10" t="s">
        <v>789</v>
      </c>
      <c r="B122" s="10" t="s">
        <v>18</v>
      </c>
      <c r="C122" s="10" t="s">
        <v>790</v>
      </c>
      <c r="D122" s="10" t="s">
        <v>791</v>
      </c>
      <c r="E122" s="10" t="s">
        <v>792</v>
      </c>
      <c r="F122" s="10" t="s">
        <v>793</v>
      </c>
      <c r="G122" s="10" t="s">
        <v>21</v>
      </c>
      <c r="H122" s="10" t="s">
        <v>9</v>
      </c>
      <c r="I122" s="10" t="s">
        <v>794</v>
      </c>
      <c r="J122" s="10" t="s">
        <v>795</v>
      </c>
      <c r="K122" s="11" t="s">
        <v>61</v>
      </c>
      <c r="L122" s="11" t="s">
        <v>62</v>
      </c>
      <c r="M122" s="11" t="s">
        <v>63</v>
      </c>
    </row>
    <row r="123" ht="74" customHeight="1" spans="1:13">
      <c r="A123" s="10" t="s">
        <v>796</v>
      </c>
      <c r="B123" s="10" t="s">
        <v>18</v>
      </c>
      <c r="C123" s="10" t="s">
        <v>797</v>
      </c>
      <c r="D123" s="10" t="s">
        <v>798</v>
      </c>
      <c r="E123" s="10" t="s">
        <v>799</v>
      </c>
      <c r="F123" s="10" t="s">
        <v>800</v>
      </c>
      <c r="G123" s="10" t="s">
        <v>21</v>
      </c>
      <c r="H123" s="10" t="s">
        <v>9</v>
      </c>
      <c r="I123" s="10" t="s">
        <v>801</v>
      </c>
      <c r="J123" s="10" t="s">
        <v>802</v>
      </c>
      <c r="K123" s="11" t="s">
        <v>61</v>
      </c>
      <c r="L123" s="11" t="s">
        <v>62</v>
      </c>
      <c r="M123" s="11" t="s">
        <v>63</v>
      </c>
    </row>
    <row r="124" ht="74" customHeight="1" spans="1:13">
      <c r="A124" s="10" t="s">
        <v>803</v>
      </c>
      <c r="B124" s="10" t="s">
        <v>18</v>
      </c>
      <c r="C124" s="10" t="s">
        <v>804</v>
      </c>
      <c r="D124" s="10" t="s">
        <v>805</v>
      </c>
      <c r="E124" s="10" t="s">
        <v>806</v>
      </c>
      <c r="F124" s="10" t="s">
        <v>800</v>
      </c>
      <c r="G124" s="10" t="s">
        <v>21</v>
      </c>
      <c r="H124" s="10" t="s">
        <v>9</v>
      </c>
      <c r="I124" s="10" t="s">
        <v>807</v>
      </c>
      <c r="J124" s="10" t="s">
        <v>808</v>
      </c>
      <c r="K124" s="11" t="s">
        <v>61</v>
      </c>
      <c r="L124" s="11" t="s">
        <v>62</v>
      </c>
      <c r="M124" s="11" t="s">
        <v>63</v>
      </c>
    </row>
    <row r="125" ht="74" customHeight="1" spans="1:13">
      <c r="A125" s="10" t="s">
        <v>809</v>
      </c>
      <c r="B125" s="10" t="s">
        <v>18</v>
      </c>
      <c r="C125" s="10" t="s">
        <v>810</v>
      </c>
      <c r="D125" s="10" t="s">
        <v>811</v>
      </c>
      <c r="E125" s="10" t="s">
        <v>812</v>
      </c>
      <c r="F125" s="10" t="s">
        <v>813</v>
      </c>
      <c r="G125" s="10" t="s">
        <v>21</v>
      </c>
      <c r="H125" s="10" t="s">
        <v>9</v>
      </c>
      <c r="I125" s="10" t="s">
        <v>814</v>
      </c>
      <c r="J125" s="10" t="s">
        <v>815</v>
      </c>
      <c r="K125" s="11" t="s">
        <v>61</v>
      </c>
      <c r="L125" s="11" t="s">
        <v>62</v>
      </c>
      <c r="M125" s="11" t="s">
        <v>63</v>
      </c>
    </row>
    <row r="126" ht="74" customHeight="1" spans="1:13">
      <c r="A126" s="10" t="s">
        <v>816</v>
      </c>
      <c r="B126" s="10" t="s">
        <v>18</v>
      </c>
      <c r="C126" s="10" t="s">
        <v>817</v>
      </c>
      <c r="D126" s="10" t="s">
        <v>818</v>
      </c>
      <c r="E126" s="10" t="s">
        <v>819</v>
      </c>
      <c r="F126" s="10" t="s">
        <v>820</v>
      </c>
      <c r="G126" s="10" t="s">
        <v>21</v>
      </c>
      <c r="H126" s="10" t="s">
        <v>9</v>
      </c>
      <c r="I126" s="10" t="s">
        <v>821</v>
      </c>
      <c r="J126" s="10" t="s">
        <v>822</v>
      </c>
      <c r="K126" s="11" t="s">
        <v>61</v>
      </c>
      <c r="L126" s="11" t="s">
        <v>62</v>
      </c>
      <c r="M126" s="11" t="s">
        <v>63</v>
      </c>
    </row>
    <row r="127" ht="74" customHeight="1" spans="1:13">
      <c r="A127" s="10" t="s">
        <v>823</v>
      </c>
      <c r="B127" s="10" t="s">
        <v>18</v>
      </c>
      <c r="C127" s="10" t="s">
        <v>824</v>
      </c>
      <c r="D127" s="10" t="s">
        <v>825</v>
      </c>
      <c r="E127" s="10" t="s">
        <v>772</v>
      </c>
      <c r="F127" s="10" t="s">
        <v>826</v>
      </c>
      <c r="G127" s="10" t="s">
        <v>21</v>
      </c>
      <c r="H127" s="10" t="s">
        <v>10</v>
      </c>
      <c r="I127" s="10" t="s">
        <v>827</v>
      </c>
      <c r="J127" s="10" t="s">
        <v>828</v>
      </c>
      <c r="K127" s="11" t="s">
        <v>61</v>
      </c>
      <c r="L127" s="11" t="s">
        <v>62</v>
      </c>
      <c r="M127" s="11" t="s">
        <v>63</v>
      </c>
    </row>
    <row r="128" ht="74" customHeight="1" spans="1:13">
      <c r="A128" s="10" t="s">
        <v>829</v>
      </c>
      <c r="B128" s="10" t="s">
        <v>18</v>
      </c>
      <c r="C128" s="10" t="s">
        <v>830</v>
      </c>
      <c r="D128" s="10" t="s">
        <v>831</v>
      </c>
      <c r="E128" s="10" t="s">
        <v>832</v>
      </c>
      <c r="F128" s="10" t="s">
        <v>833</v>
      </c>
      <c r="G128" s="10" t="s">
        <v>23</v>
      </c>
      <c r="H128" s="10" t="s">
        <v>9</v>
      </c>
      <c r="I128" s="10" t="s">
        <v>834</v>
      </c>
      <c r="J128" s="10" t="s">
        <v>835</v>
      </c>
      <c r="K128" s="11" t="s">
        <v>61</v>
      </c>
      <c r="L128" s="11" t="s">
        <v>62</v>
      </c>
      <c r="M128" s="11" t="s">
        <v>63</v>
      </c>
    </row>
    <row r="129" ht="74" customHeight="1" spans="1:13">
      <c r="A129" s="10" t="s">
        <v>836</v>
      </c>
      <c r="B129" s="10" t="s">
        <v>18</v>
      </c>
      <c r="C129" s="10" t="s">
        <v>837</v>
      </c>
      <c r="D129" s="10" t="s">
        <v>838</v>
      </c>
      <c r="E129" s="10" t="s">
        <v>832</v>
      </c>
      <c r="F129" s="10" t="s">
        <v>833</v>
      </c>
      <c r="G129" s="10" t="s">
        <v>23</v>
      </c>
      <c r="H129" s="10" t="s">
        <v>9</v>
      </c>
      <c r="I129" s="10" t="s">
        <v>839</v>
      </c>
      <c r="J129" s="10" t="s">
        <v>840</v>
      </c>
      <c r="K129" s="11" t="s">
        <v>61</v>
      </c>
      <c r="L129" s="11" t="s">
        <v>62</v>
      </c>
      <c r="M129" s="11" t="s">
        <v>63</v>
      </c>
    </row>
    <row r="130" ht="74" customHeight="1" spans="1:13">
      <c r="A130" s="10" t="s">
        <v>841</v>
      </c>
      <c r="B130" s="10" t="s">
        <v>19</v>
      </c>
      <c r="C130" s="10" t="s">
        <v>842</v>
      </c>
      <c r="D130" s="10" t="s">
        <v>843</v>
      </c>
      <c r="E130" s="10" t="s">
        <v>844</v>
      </c>
      <c r="F130" s="10" t="s">
        <v>845</v>
      </c>
      <c r="G130" s="10" t="s">
        <v>21</v>
      </c>
      <c r="H130" s="10" t="s">
        <v>9</v>
      </c>
      <c r="I130" s="10" t="s">
        <v>846</v>
      </c>
      <c r="J130" s="10" t="s">
        <v>847</v>
      </c>
      <c r="K130" s="11" t="s">
        <v>61</v>
      </c>
      <c r="L130" s="11" t="s">
        <v>62</v>
      </c>
      <c r="M130" s="11" t="s">
        <v>63</v>
      </c>
    </row>
    <row r="131" ht="74" customHeight="1" spans="1:13">
      <c r="A131" s="10" t="s">
        <v>848</v>
      </c>
      <c r="B131" s="10" t="s">
        <v>19</v>
      </c>
      <c r="C131" s="10" t="s">
        <v>849</v>
      </c>
      <c r="D131" s="10" t="s">
        <v>850</v>
      </c>
      <c r="E131" s="10" t="s">
        <v>851</v>
      </c>
      <c r="F131" s="10" t="s">
        <v>852</v>
      </c>
      <c r="G131" s="10" t="s">
        <v>21</v>
      </c>
      <c r="H131" s="10" t="s">
        <v>9</v>
      </c>
      <c r="I131" s="10" t="s">
        <v>853</v>
      </c>
      <c r="J131" s="10" t="s">
        <v>854</v>
      </c>
      <c r="K131" s="11" t="s">
        <v>61</v>
      </c>
      <c r="L131" s="11" t="s">
        <v>62</v>
      </c>
      <c r="M131" s="11" t="s">
        <v>63</v>
      </c>
    </row>
    <row r="132" ht="74" customHeight="1" spans="1:13">
      <c r="A132" s="10" t="s">
        <v>855</v>
      </c>
      <c r="B132" s="10" t="s">
        <v>19</v>
      </c>
      <c r="C132" s="10" t="s">
        <v>856</v>
      </c>
      <c r="D132" s="10" t="s">
        <v>857</v>
      </c>
      <c r="E132" s="10" t="s">
        <v>851</v>
      </c>
      <c r="F132" s="10" t="s">
        <v>858</v>
      </c>
      <c r="G132" s="10" t="s">
        <v>21</v>
      </c>
      <c r="H132" s="10" t="s">
        <v>9</v>
      </c>
      <c r="I132" s="10" t="s">
        <v>859</v>
      </c>
      <c r="J132" s="10" t="s">
        <v>860</v>
      </c>
      <c r="K132" s="11" t="s">
        <v>61</v>
      </c>
      <c r="L132" s="11" t="s">
        <v>62</v>
      </c>
      <c r="M132" s="11" t="s">
        <v>63</v>
      </c>
    </row>
    <row r="133" ht="74" customHeight="1" spans="1:13">
      <c r="A133" s="10" t="s">
        <v>861</v>
      </c>
      <c r="B133" s="10" t="s">
        <v>19</v>
      </c>
      <c r="C133" s="10" t="s">
        <v>862</v>
      </c>
      <c r="D133" s="10" t="s">
        <v>863</v>
      </c>
      <c r="E133" s="10" t="s">
        <v>851</v>
      </c>
      <c r="F133" s="10" t="s">
        <v>864</v>
      </c>
      <c r="G133" s="10" t="s">
        <v>23</v>
      </c>
      <c r="H133" s="10" t="s">
        <v>9</v>
      </c>
      <c r="I133" s="10" t="s">
        <v>865</v>
      </c>
      <c r="J133" s="10" t="s">
        <v>866</v>
      </c>
      <c r="K133" s="11" t="s">
        <v>61</v>
      </c>
      <c r="L133" s="11" t="s">
        <v>62</v>
      </c>
      <c r="M133" s="11" t="s">
        <v>63</v>
      </c>
    </row>
    <row r="134" ht="74" customHeight="1" spans="1:13">
      <c r="A134" s="10" t="s">
        <v>867</v>
      </c>
      <c r="B134" s="10" t="s">
        <v>19</v>
      </c>
      <c r="C134" s="10" t="s">
        <v>868</v>
      </c>
      <c r="D134" s="10" t="s">
        <v>869</v>
      </c>
      <c r="E134" s="10" t="s">
        <v>870</v>
      </c>
      <c r="F134" s="10" t="s">
        <v>871</v>
      </c>
      <c r="G134" s="10" t="s">
        <v>21</v>
      </c>
      <c r="H134" s="10" t="s">
        <v>9</v>
      </c>
      <c r="I134" s="10" t="s">
        <v>872</v>
      </c>
      <c r="J134" s="10" t="s">
        <v>873</v>
      </c>
      <c r="K134" s="11" t="s">
        <v>61</v>
      </c>
      <c r="L134" s="11" t="s">
        <v>62</v>
      </c>
      <c r="M134" s="11" t="s">
        <v>63</v>
      </c>
    </row>
    <row r="135" ht="74" customHeight="1" spans="1:13">
      <c r="A135" s="10" t="s">
        <v>874</v>
      </c>
      <c r="B135" s="10" t="s">
        <v>19</v>
      </c>
      <c r="C135" s="10" t="s">
        <v>875</v>
      </c>
      <c r="D135" s="10" t="s">
        <v>876</v>
      </c>
      <c r="E135" s="10" t="s">
        <v>877</v>
      </c>
      <c r="F135" s="10" t="s">
        <v>878</v>
      </c>
      <c r="G135" s="10" t="s">
        <v>23</v>
      </c>
      <c r="H135" s="10" t="s">
        <v>9</v>
      </c>
      <c r="I135" s="10" t="s">
        <v>879</v>
      </c>
      <c r="J135" s="10" t="s">
        <v>880</v>
      </c>
      <c r="K135" s="11" t="s">
        <v>61</v>
      </c>
      <c r="L135" s="11" t="s">
        <v>62</v>
      </c>
      <c r="M135" s="11" t="s">
        <v>63</v>
      </c>
    </row>
    <row r="136" ht="74" customHeight="1" spans="1:13">
      <c r="A136" s="10" t="s">
        <v>881</v>
      </c>
      <c r="B136" s="10" t="s">
        <v>19</v>
      </c>
      <c r="C136" s="10" t="s">
        <v>882</v>
      </c>
      <c r="D136" s="10" t="s">
        <v>883</v>
      </c>
      <c r="E136" s="10" t="s">
        <v>884</v>
      </c>
      <c r="F136" s="10" t="s">
        <v>885</v>
      </c>
      <c r="G136" s="10" t="s">
        <v>21</v>
      </c>
      <c r="H136" s="10" t="s">
        <v>9</v>
      </c>
      <c r="I136" s="10" t="s">
        <v>886</v>
      </c>
      <c r="J136" s="10" t="s">
        <v>887</v>
      </c>
      <c r="K136" s="11" t="s">
        <v>61</v>
      </c>
      <c r="L136" s="11" t="s">
        <v>62</v>
      </c>
      <c r="M136" s="11" t="s">
        <v>63</v>
      </c>
    </row>
    <row r="137" ht="74" customHeight="1" spans="1:13">
      <c r="A137" s="10" t="s">
        <v>888</v>
      </c>
      <c r="B137" s="10" t="s">
        <v>19</v>
      </c>
      <c r="C137" s="10" t="s">
        <v>889</v>
      </c>
      <c r="D137" s="10" t="s">
        <v>890</v>
      </c>
      <c r="E137" s="10" t="s">
        <v>884</v>
      </c>
      <c r="F137" s="10" t="s">
        <v>891</v>
      </c>
      <c r="G137" s="10" t="s">
        <v>21</v>
      </c>
      <c r="H137" s="10" t="s">
        <v>9</v>
      </c>
      <c r="I137" s="10" t="s">
        <v>892</v>
      </c>
      <c r="J137" s="10" t="s">
        <v>893</v>
      </c>
      <c r="K137" s="11" t="s">
        <v>61</v>
      </c>
      <c r="L137" s="11" t="s">
        <v>62</v>
      </c>
      <c r="M137" s="11" t="s">
        <v>63</v>
      </c>
    </row>
    <row r="138" ht="74" customHeight="1" spans="1:13">
      <c r="A138" s="10" t="s">
        <v>894</v>
      </c>
      <c r="B138" s="10" t="s">
        <v>19</v>
      </c>
      <c r="C138" s="10" t="s">
        <v>895</v>
      </c>
      <c r="D138" s="10" t="s">
        <v>896</v>
      </c>
      <c r="E138" s="10" t="s">
        <v>884</v>
      </c>
      <c r="F138" s="10" t="s">
        <v>897</v>
      </c>
      <c r="G138" s="10" t="s">
        <v>23</v>
      </c>
      <c r="H138" s="10" t="s">
        <v>9</v>
      </c>
      <c r="I138" s="10" t="s">
        <v>898</v>
      </c>
      <c r="J138" s="10" t="s">
        <v>899</v>
      </c>
      <c r="K138" s="11" t="s">
        <v>61</v>
      </c>
      <c r="L138" s="11" t="s">
        <v>62</v>
      </c>
      <c r="M138" s="11" t="s">
        <v>63</v>
      </c>
    </row>
    <row r="139" ht="74" customHeight="1" spans="1:13">
      <c r="A139" s="10" t="s">
        <v>900</v>
      </c>
      <c r="B139" s="10" t="s">
        <v>19</v>
      </c>
      <c r="C139" s="10" t="s">
        <v>901</v>
      </c>
      <c r="D139" s="10" t="s">
        <v>902</v>
      </c>
      <c r="E139" s="10" t="s">
        <v>903</v>
      </c>
      <c r="F139" s="10" t="s">
        <v>904</v>
      </c>
      <c r="G139" s="10" t="s">
        <v>23</v>
      </c>
      <c r="H139" s="10" t="s">
        <v>9</v>
      </c>
      <c r="I139" s="10" t="s">
        <v>905</v>
      </c>
      <c r="J139" s="10" t="s">
        <v>906</v>
      </c>
      <c r="K139" s="11" t="s">
        <v>61</v>
      </c>
      <c r="L139" s="11" t="s">
        <v>62</v>
      </c>
      <c r="M139" s="11" t="s">
        <v>63</v>
      </c>
    </row>
  </sheetData>
  <mergeCells count="3">
    <mergeCell ref="A1:M1"/>
    <mergeCell ref="A2:M2"/>
    <mergeCell ref="A3:M3"/>
  </mergeCells>
  <conditionalFormatting sqref="G6:G139">
    <cfRule type="expression" dxfId="0" priority="2">
      <formula>G6="设计细化"</formula>
    </cfRule>
    <cfRule type="expression" dxfId="1" priority="3">
      <formula>G6="条件能力"</formula>
    </cfRule>
  </conditionalFormatting>
  <conditionalFormatting sqref="H6:H139">
    <cfRule type="expression" dxfId="2" priority="1">
      <formula>H6="P0"</formula>
    </cfRule>
  </conditionalFormatting>
  <dataValidations count="2">
    <dataValidation type="list" sqref="H6:H139">
      <formula1>"P0,P1"</formula1>
    </dataValidation>
    <dataValidation type="list" sqref="K6:K139">
      <formula1>"待评审,已确认,需调整,条件阻塞,开发中,待验收,已验收"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workbookViewId="0">
      <selection activeCell="A1" sqref="A1:I1"/>
    </sheetView>
  </sheetViews>
  <sheetFormatPr defaultColWidth="9" defaultRowHeight="16.8"/>
  <cols>
    <col min="1" max="1" width="12" customWidth="1"/>
    <col min="2" max="2" width="28" customWidth="1"/>
    <col min="3" max="5" width="40" customWidth="1"/>
    <col min="6" max="6" width="29" customWidth="1"/>
    <col min="7" max="7" width="20" customWidth="1"/>
    <col min="8" max="8" width="15" customWidth="1"/>
    <col min="9" max="9" width="30" customWidth="1"/>
  </cols>
  <sheetData>
    <row r="1" ht="40" customHeight="1" spans="1:9">
      <c r="A1" s="8" t="s">
        <v>907</v>
      </c>
      <c r="B1" s="8"/>
      <c r="C1" s="8"/>
      <c r="D1" s="8"/>
      <c r="E1" s="8"/>
      <c r="F1" s="8"/>
      <c r="G1" s="8"/>
      <c r="H1" s="8"/>
      <c r="I1" s="8"/>
    </row>
    <row r="2" ht="26" customHeight="1" spans="1:9">
      <c r="A2" s="2" t="s">
        <v>908</v>
      </c>
      <c r="B2" s="2"/>
      <c r="C2" s="2"/>
      <c r="D2" s="2"/>
      <c r="E2" s="2"/>
      <c r="F2" s="2"/>
      <c r="G2" s="2"/>
      <c r="H2" s="2"/>
      <c r="I2" s="2"/>
    </row>
    <row r="3" ht="26" customHeight="1" spans="1:9">
      <c r="A3" s="2" t="s">
        <v>41</v>
      </c>
      <c r="B3" s="2"/>
      <c r="C3" s="2"/>
      <c r="D3" s="2"/>
      <c r="E3" s="2"/>
      <c r="F3" s="2"/>
      <c r="G3" s="2"/>
      <c r="H3" s="2"/>
      <c r="I3" s="2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ht="32" customHeight="1" spans="1:9">
      <c r="A5" s="9" t="s">
        <v>909</v>
      </c>
      <c r="B5" s="9" t="s">
        <v>910</v>
      </c>
      <c r="C5" s="9" t="s">
        <v>21</v>
      </c>
      <c r="D5" s="9" t="s">
        <v>911</v>
      </c>
      <c r="E5" s="9" t="s">
        <v>912</v>
      </c>
      <c r="F5" s="9" t="s">
        <v>46</v>
      </c>
      <c r="G5" s="9" t="s">
        <v>913</v>
      </c>
      <c r="H5" s="9" t="s">
        <v>914</v>
      </c>
      <c r="I5" s="9" t="s">
        <v>915</v>
      </c>
    </row>
    <row r="6" ht="91" customHeight="1" spans="1:9">
      <c r="A6" s="10" t="s">
        <v>916</v>
      </c>
      <c r="B6" s="10" t="s">
        <v>917</v>
      </c>
      <c r="C6" s="10" t="s">
        <v>918</v>
      </c>
      <c r="D6" s="10" t="s">
        <v>919</v>
      </c>
      <c r="E6" s="10" t="s">
        <v>920</v>
      </c>
      <c r="F6" s="10" t="s">
        <v>921</v>
      </c>
      <c r="G6" s="10" t="s">
        <v>922</v>
      </c>
      <c r="H6" s="11" t="s">
        <v>923</v>
      </c>
      <c r="I6" s="11" t="s">
        <v>63</v>
      </c>
    </row>
    <row r="7" ht="91" customHeight="1" spans="1:9">
      <c r="A7" s="10" t="s">
        <v>924</v>
      </c>
      <c r="B7" s="10" t="s">
        <v>925</v>
      </c>
      <c r="C7" s="10" t="s">
        <v>926</v>
      </c>
      <c r="D7" s="10" t="s">
        <v>927</v>
      </c>
      <c r="E7" s="10" t="s">
        <v>928</v>
      </c>
      <c r="F7" s="10" t="s">
        <v>929</v>
      </c>
      <c r="G7" s="10" t="s">
        <v>930</v>
      </c>
      <c r="H7" s="11" t="s">
        <v>923</v>
      </c>
      <c r="I7" s="11" t="s">
        <v>63</v>
      </c>
    </row>
    <row r="8" ht="91" customHeight="1" spans="1:9">
      <c r="A8" s="10" t="s">
        <v>931</v>
      </c>
      <c r="B8" s="10" t="s">
        <v>932</v>
      </c>
      <c r="C8" s="10" t="s">
        <v>933</v>
      </c>
      <c r="D8" s="10" t="s">
        <v>934</v>
      </c>
      <c r="E8" s="10" t="s">
        <v>935</v>
      </c>
      <c r="F8" s="10" t="s">
        <v>936</v>
      </c>
      <c r="G8" s="10" t="s">
        <v>937</v>
      </c>
      <c r="H8" s="11" t="s">
        <v>923</v>
      </c>
      <c r="I8" s="11" t="s">
        <v>63</v>
      </c>
    </row>
    <row r="9" ht="91" customHeight="1" spans="1:9">
      <c r="A9" s="10" t="s">
        <v>938</v>
      </c>
      <c r="B9" s="10" t="s">
        <v>939</v>
      </c>
      <c r="C9" s="10" t="s">
        <v>940</v>
      </c>
      <c r="D9" s="10" t="s">
        <v>941</v>
      </c>
      <c r="E9" s="10" t="s">
        <v>942</v>
      </c>
      <c r="F9" s="10" t="s">
        <v>943</v>
      </c>
      <c r="G9" s="10" t="s">
        <v>944</v>
      </c>
      <c r="H9" s="11" t="s">
        <v>923</v>
      </c>
      <c r="I9" s="11" t="s">
        <v>63</v>
      </c>
    </row>
    <row r="10" ht="91" customHeight="1" spans="1:9">
      <c r="A10" s="10" t="s">
        <v>945</v>
      </c>
      <c r="B10" s="10" t="s">
        <v>946</v>
      </c>
      <c r="C10" s="10" t="s">
        <v>947</v>
      </c>
      <c r="D10" s="10" t="s">
        <v>948</v>
      </c>
      <c r="E10" s="10" t="s">
        <v>949</v>
      </c>
      <c r="F10" s="10" t="s">
        <v>950</v>
      </c>
      <c r="G10" s="10" t="s">
        <v>951</v>
      </c>
      <c r="H10" s="11" t="s">
        <v>923</v>
      </c>
      <c r="I10" s="11" t="s">
        <v>63</v>
      </c>
    </row>
    <row r="11" ht="91" customHeight="1" spans="1:9">
      <c r="A11" s="10" t="s">
        <v>952</v>
      </c>
      <c r="B11" s="10" t="s">
        <v>953</v>
      </c>
      <c r="C11" s="10" t="s">
        <v>954</v>
      </c>
      <c r="D11" s="10" t="s">
        <v>955</v>
      </c>
      <c r="E11" s="10" t="s">
        <v>956</v>
      </c>
      <c r="F11" s="10" t="s">
        <v>957</v>
      </c>
      <c r="G11" s="10" t="s">
        <v>944</v>
      </c>
      <c r="H11" s="11" t="s">
        <v>923</v>
      </c>
      <c r="I11" s="11" t="s">
        <v>63</v>
      </c>
    </row>
    <row r="12" ht="91" customHeight="1" spans="1:9">
      <c r="A12" s="10" t="s">
        <v>958</v>
      </c>
      <c r="B12" s="10" t="s">
        <v>959</v>
      </c>
      <c r="C12" s="10" t="s">
        <v>960</v>
      </c>
      <c r="D12" s="10" t="s">
        <v>961</v>
      </c>
      <c r="E12" s="10" t="s">
        <v>962</v>
      </c>
      <c r="F12" s="10" t="s">
        <v>963</v>
      </c>
      <c r="G12" s="10" t="s">
        <v>944</v>
      </c>
      <c r="H12" s="11" t="s">
        <v>923</v>
      </c>
      <c r="I12" s="11" t="s">
        <v>63</v>
      </c>
    </row>
    <row r="13" ht="91" customHeight="1" spans="1:9">
      <c r="A13" s="10" t="s">
        <v>964</v>
      </c>
      <c r="B13" s="10" t="s">
        <v>965</v>
      </c>
      <c r="C13" s="10" t="s">
        <v>966</v>
      </c>
      <c r="D13" s="10" t="s">
        <v>967</v>
      </c>
      <c r="E13" s="10" t="s">
        <v>968</v>
      </c>
      <c r="F13" s="10" t="s">
        <v>969</v>
      </c>
      <c r="G13" s="10" t="s">
        <v>970</v>
      </c>
      <c r="H13" s="11" t="s">
        <v>923</v>
      </c>
      <c r="I13" s="11" t="s">
        <v>63</v>
      </c>
    </row>
    <row r="14" ht="91" customHeight="1" spans="1:9">
      <c r="A14" s="10" t="s">
        <v>971</v>
      </c>
      <c r="B14" s="10" t="s">
        <v>972</v>
      </c>
      <c r="C14" s="10" t="s">
        <v>973</v>
      </c>
      <c r="D14" s="10" t="s">
        <v>974</v>
      </c>
      <c r="E14" s="10" t="s">
        <v>975</v>
      </c>
      <c r="F14" s="10" t="s">
        <v>976</v>
      </c>
      <c r="G14" s="10" t="s">
        <v>977</v>
      </c>
      <c r="H14" s="11" t="s">
        <v>923</v>
      </c>
      <c r="I14" s="11" t="s">
        <v>63</v>
      </c>
    </row>
    <row r="15" ht="91" customHeight="1" spans="1:9">
      <c r="A15" s="10" t="s">
        <v>978</v>
      </c>
      <c r="B15" s="10" t="s">
        <v>979</v>
      </c>
      <c r="C15" s="10" t="s">
        <v>980</v>
      </c>
      <c r="D15" s="10" t="s">
        <v>981</v>
      </c>
      <c r="E15" s="10" t="s">
        <v>982</v>
      </c>
      <c r="F15" s="10" t="s">
        <v>983</v>
      </c>
      <c r="G15" s="10" t="s">
        <v>944</v>
      </c>
      <c r="H15" s="11" t="s">
        <v>923</v>
      </c>
      <c r="I15" s="11" t="s">
        <v>63</v>
      </c>
    </row>
    <row r="16" ht="91" customHeight="1" spans="1:9">
      <c r="A16" s="10" t="s">
        <v>984</v>
      </c>
      <c r="B16" s="10" t="s">
        <v>985</v>
      </c>
      <c r="C16" s="10" t="s">
        <v>986</v>
      </c>
      <c r="D16" s="10" t="s">
        <v>987</v>
      </c>
      <c r="E16" s="10" t="s">
        <v>988</v>
      </c>
      <c r="F16" s="10" t="s">
        <v>989</v>
      </c>
      <c r="G16" s="10" t="s">
        <v>990</v>
      </c>
      <c r="H16" s="11" t="s">
        <v>923</v>
      </c>
      <c r="I16" s="11" t="s">
        <v>63</v>
      </c>
    </row>
    <row r="17" ht="91" customHeight="1" spans="1:9">
      <c r="A17" s="10" t="s">
        <v>991</v>
      </c>
      <c r="B17" s="10" t="s">
        <v>992</v>
      </c>
      <c r="C17" s="10" t="s">
        <v>993</v>
      </c>
      <c r="D17" s="10" t="s">
        <v>994</v>
      </c>
      <c r="E17" s="10" t="s">
        <v>995</v>
      </c>
      <c r="F17" s="10" t="s">
        <v>996</v>
      </c>
      <c r="G17" s="10" t="s">
        <v>997</v>
      </c>
      <c r="H17" s="11" t="s">
        <v>923</v>
      </c>
      <c r="I17" s="11" t="s">
        <v>63</v>
      </c>
    </row>
    <row r="18" ht="91" customHeight="1" spans="1:9">
      <c r="A18" s="10" t="s">
        <v>998</v>
      </c>
      <c r="B18" s="10" t="s">
        <v>999</v>
      </c>
      <c r="C18" s="10" t="s">
        <v>1000</v>
      </c>
      <c r="D18" s="10" t="s">
        <v>1001</v>
      </c>
      <c r="E18" s="10" t="s">
        <v>1002</v>
      </c>
      <c r="F18" s="10" t="s">
        <v>1003</v>
      </c>
      <c r="G18" s="10" t="s">
        <v>990</v>
      </c>
      <c r="H18" s="11" t="s">
        <v>923</v>
      </c>
      <c r="I18" s="11" t="s">
        <v>63</v>
      </c>
    </row>
    <row r="19" ht="91" customHeight="1" spans="1:9">
      <c r="A19" s="10" t="s">
        <v>1004</v>
      </c>
      <c r="B19" s="10" t="s">
        <v>1005</v>
      </c>
      <c r="C19" s="10" t="s">
        <v>1006</v>
      </c>
      <c r="D19" s="10" t="s">
        <v>1007</v>
      </c>
      <c r="E19" s="10" t="s">
        <v>1008</v>
      </c>
      <c r="F19" s="10" t="s">
        <v>1009</v>
      </c>
      <c r="G19" s="10" t="s">
        <v>1010</v>
      </c>
      <c r="H19" s="11" t="s">
        <v>923</v>
      </c>
      <c r="I19" s="11" t="s">
        <v>63</v>
      </c>
    </row>
    <row r="20" ht="91" customHeight="1" spans="1:9">
      <c r="A20" s="10" t="s">
        <v>1011</v>
      </c>
      <c r="B20" s="10" t="s">
        <v>1012</v>
      </c>
      <c r="C20" s="10" t="s">
        <v>1013</v>
      </c>
      <c r="D20" s="10" t="s">
        <v>1014</v>
      </c>
      <c r="E20" s="10" t="s">
        <v>1015</v>
      </c>
      <c r="F20" s="10" t="s">
        <v>1016</v>
      </c>
      <c r="G20" s="10" t="s">
        <v>1010</v>
      </c>
      <c r="H20" s="11" t="s">
        <v>923</v>
      </c>
      <c r="I20" s="11" t="s">
        <v>63</v>
      </c>
    </row>
    <row r="21" ht="91" customHeight="1" spans="1:9">
      <c r="A21" s="10" t="s">
        <v>1017</v>
      </c>
      <c r="B21" s="10" t="s">
        <v>443</v>
      </c>
      <c r="C21" s="10" t="s">
        <v>1018</v>
      </c>
      <c r="D21" s="10" t="s">
        <v>1019</v>
      </c>
      <c r="E21" s="10" t="s">
        <v>1020</v>
      </c>
      <c r="F21" s="10" t="s">
        <v>1021</v>
      </c>
      <c r="G21" s="10" t="s">
        <v>1022</v>
      </c>
      <c r="H21" s="11" t="s">
        <v>923</v>
      </c>
      <c r="I21" s="11" t="s">
        <v>63</v>
      </c>
    </row>
    <row r="22" ht="91" customHeight="1" spans="1:9">
      <c r="A22" s="10" t="s">
        <v>1023</v>
      </c>
      <c r="B22" s="10" t="s">
        <v>1024</v>
      </c>
      <c r="C22" s="10" t="s">
        <v>1025</v>
      </c>
      <c r="D22" s="10" t="s">
        <v>1026</v>
      </c>
      <c r="E22" s="10" t="s">
        <v>1027</v>
      </c>
      <c r="F22" s="10" t="s">
        <v>1028</v>
      </c>
      <c r="G22" s="10" t="s">
        <v>1029</v>
      </c>
      <c r="H22" s="11" t="s">
        <v>923</v>
      </c>
      <c r="I22" s="11" t="s">
        <v>63</v>
      </c>
    </row>
    <row r="23" ht="91" customHeight="1" spans="1:9">
      <c r="A23" s="10" t="s">
        <v>1030</v>
      </c>
      <c r="B23" s="10" t="s">
        <v>1031</v>
      </c>
      <c r="C23" s="10" t="s">
        <v>1032</v>
      </c>
      <c r="D23" s="10" t="s">
        <v>1033</v>
      </c>
      <c r="E23" s="10" t="s">
        <v>1034</v>
      </c>
      <c r="F23" s="10" t="s">
        <v>1035</v>
      </c>
      <c r="G23" s="10" t="s">
        <v>1036</v>
      </c>
      <c r="H23" s="11" t="s">
        <v>923</v>
      </c>
      <c r="I23" s="11" t="s">
        <v>63</v>
      </c>
    </row>
    <row r="24" ht="91" customHeight="1" spans="1:9">
      <c r="A24" s="10" t="s">
        <v>1037</v>
      </c>
      <c r="B24" s="10" t="s">
        <v>1038</v>
      </c>
      <c r="C24" s="10" t="s">
        <v>1039</v>
      </c>
      <c r="D24" s="10" t="s">
        <v>1040</v>
      </c>
      <c r="E24" s="10" t="s">
        <v>1041</v>
      </c>
      <c r="F24" s="10" t="s">
        <v>1042</v>
      </c>
      <c r="G24" s="10" t="s">
        <v>944</v>
      </c>
      <c r="H24" s="11" t="s">
        <v>923</v>
      </c>
      <c r="I24" s="11" t="s">
        <v>63</v>
      </c>
    </row>
    <row r="25" ht="91" customHeight="1" spans="1:9">
      <c r="A25" s="10" t="s">
        <v>1043</v>
      </c>
      <c r="B25" s="10" t="s">
        <v>1044</v>
      </c>
      <c r="C25" s="10" t="s">
        <v>1045</v>
      </c>
      <c r="D25" s="10" t="s">
        <v>1046</v>
      </c>
      <c r="E25" s="10" t="s">
        <v>1047</v>
      </c>
      <c r="F25" s="10" t="s">
        <v>1048</v>
      </c>
      <c r="G25" s="10" t="s">
        <v>1049</v>
      </c>
      <c r="H25" s="11" t="s">
        <v>923</v>
      </c>
      <c r="I25" s="11" t="s">
        <v>63</v>
      </c>
    </row>
    <row r="26" ht="91" customHeight="1" spans="1:9">
      <c r="A26" s="10" t="s">
        <v>1050</v>
      </c>
      <c r="B26" s="10" t="s">
        <v>1051</v>
      </c>
      <c r="C26" s="10" t="s">
        <v>1052</v>
      </c>
      <c r="D26" s="10" t="s">
        <v>1053</v>
      </c>
      <c r="E26" s="10" t="s">
        <v>1054</v>
      </c>
      <c r="F26" s="10" t="s">
        <v>1055</v>
      </c>
      <c r="G26" s="10" t="s">
        <v>1049</v>
      </c>
      <c r="H26" s="11" t="s">
        <v>923</v>
      </c>
      <c r="I26" s="11" t="s">
        <v>63</v>
      </c>
    </row>
    <row r="27" ht="91" customHeight="1" spans="1:9">
      <c r="A27" s="10" t="s">
        <v>1056</v>
      </c>
      <c r="B27" s="10" t="s">
        <v>1057</v>
      </c>
      <c r="C27" s="10" t="s">
        <v>1058</v>
      </c>
      <c r="D27" s="10" t="s">
        <v>1059</v>
      </c>
      <c r="E27" s="10" t="s">
        <v>1060</v>
      </c>
      <c r="F27" s="10" t="s">
        <v>1061</v>
      </c>
      <c r="G27" s="10" t="s">
        <v>977</v>
      </c>
      <c r="H27" s="11" t="s">
        <v>923</v>
      </c>
      <c r="I27" s="11" t="s">
        <v>63</v>
      </c>
    </row>
    <row r="28" ht="91" customHeight="1" spans="1:9">
      <c r="A28" s="10" t="s">
        <v>1062</v>
      </c>
      <c r="B28" s="10" t="s">
        <v>1063</v>
      </c>
      <c r="C28" s="10" t="s">
        <v>1064</v>
      </c>
      <c r="D28" s="10" t="s">
        <v>1065</v>
      </c>
      <c r="E28" s="10" t="s">
        <v>1066</v>
      </c>
      <c r="F28" s="10" t="s">
        <v>1067</v>
      </c>
      <c r="G28" s="10" t="s">
        <v>1049</v>
      </c>
      <c r="H28" s="11" t="s">
        <v>923</v>
      </c>
      <c r="I28" s="11" t="s">
        <v>63</v>
      </c>
    </row>
    <row r="29" ht="91" customHeight="1" spans="1:9">
      <c r="A29" s="10" t="s">
        <v>1068</v>
      </c>
      <c r="B29" s="10" t="s">
        <v>1069</v>
      </c>
      <c r="C29" s="10" t="s">
        <v>1070</v>
      </c>
      <c r="D29" s="10" t="s">
        <v>1071</v>
      </c>
      <c r="E29" s="10" t="s">
        <v>1072</v>
      </c>
      <c r="F29" s="10" t="s">
        <v>1073</v>
      </c>
      <c r="G29" s="10" t="s">
        <v>1074</v>
      </c>
      <c r="H29" s="11" t="s">
        <v>923</v>
      </c>
      <c r="I29" s="11" t="s">
        <v>63</v>
      </c>
    </row>
    <row r="30" ht="91" customHeight="1" spans="1:9">
      <c r="A30" s="10" t="s">
        <v>1075</v>
      </c>
      <c r="B30" s="10" t="s">
        <v>1076</v>
      </c>
      <c r="C30" s="10" t="s">
        <v>1077</v>
      </c>
      <c r="D30" s="10" t="s">
        <v>1078</v>
      </c>
      <c r="E30" s="10" t="s">
        <v>1079</v>
      </c>
      <c r="F30" s="10" t="s">
        <v>1080</v>
      </c>
      <c r="G30" s="10" t="s">
        <v>1081</v>
      </c>
      <c r="H30" s="11" t="s">
        <v>923</v>
      </c>
      <c r="I30" s="11" t="s">
        <v>63</v>
      </c>
    </row>
    <row r="31" ht="91" customHeight="1" spans="1:9">
      <c r="A31" s="10" t="s">
        <v>1082</v>
      </c>
      <c r="B31" s="10" t="s">
        <v>1083</v>
      </c>
      <c r="C31" s="10" t="s">
        <v>1084</v>
      </c>
      <c r="D31" s="10" t="s">
        <v>1085</v>
      </c>
      <c r="E31" s="10" t="s">
        <v>1086</v>
      </c>
      <c r="F31" s="10" t="s">
        <v>1087</v>
      </c>
      <c r="G31" s="10" t="s">
        <v>1049</v>
      </c>
      <c r="H31" s="11" t="s">
        <v>923</v>
      </c>
      <c r="I31" s="11" t="s">
        <v>63</v>
      </c>
    </row>
    <row r="32" ht="91" customHeight="1" spans="1:9">
      <c r="A32" s="10" t="s">
        <v>1088</v>
      </c>
      <c r="B32" s="10" t="s">
        <v>1089</v>
      </c>
      <c r="C32" s="10" t="s">
        <v>1090</v>
      </c>
      <c r="D32" s="10" t="s">
        <v>1091</v>
      </c>
      <c r="E32" s="10" t="s">
        <v>1092</v>
      </c>
      <c r="F32" s="10" t="s">
        <v>1093</v>
      </c>
      <c r="G32" s="10" t="s">
        <v>1094</v>
      </c>
      <c r="H32" s="11" t="s">
        <v>923</v>
      </c>
      <c r="I32" s="11" t="s">
        <v>63</v>
      </c>
    </row>
    <row r="33" ht="91" customHeight="1" spans="1:9">
      <c r="A33" s="10" t="s">
        <v>1095</v>
      </c>
      <c r="B33" s="10" t="s">
        <v>1096</v>
      </c>
      <c r="C33" s="10" t="s">
        <v>1097</v>
      </c>
      <c r="D33" s="10" t="s">
        <v>1098</v>
      </c>
      <c r="E33" s="10" t="s">
        <v>1099</v>
      </c>
      <c r="F33" s="10" t="s">
        <v>1100</v>
      </c>
      <c r="G33" s="10" t="s">
        <v>1101</v>
      </c>
      <c r="H33" s="11" t="s">
        <v>923</v>
      </c>
      <c r="I33" s="11" t="s">
        <v>63</v>
      </c>
    </row>
    <row r="34" ht="91" customHeight="1" spans="1:9">
      <c r="A34" s="10" t="s">
        <v>1102</v>
      </c>
      <c r="B34" s="10" t="s">
        <v>1103</v>
      </c>
      <c r="C34" s="10" t="s">
        <v>1104</v>
      </c>
      <c r="D34" s="10" t="s">
        <v>1105</v>
      </c>
      <c r="E34" s="10" t="s">
        <v>1106</v>
      </c>
      <c r="F34" s="10" t="s">
        <v>1107</v>
      </c>
      <c r="G34" s="10" t="s">
        <v>1108</v>
      </c>
      <c r="H34" s="11" t="s">
        <v>923</v>
      </c>
      <c r="I34" s="11" t="s">
        <v>63</v>
      </c>
    </row>
    <row r="35" ht="91" customHeight="1" spans="1:9">
      <c r="A35" s="10" t="s">
        <v>1109</v>
      </c>
      <c r="B35" s="10" t="s">
        <v>1110</v>
      </c>
      <c r="C35" s="10" t="s">
        <v>1111</v>
      </c>
      <c r="D35" s="10" t="s">
        <v>1112</v>
      </c>
      <c r="E35" s="10" t="s">
        <v>1113</v>
      </c>
      <c r="F35" s="10" t="s">
        <v>1114</v>
      </c>
      <c r="G35" s="10" t="s">
        <v>1115</v>
      </c>
      <c r="H35" s="11" t="s">
        <v>923</v>
      </c>
      <c r="I35" s="11" t="s">
        <v>63</v>
      </c>
    </row>
    <row r="36" ht="91" customHeight="1" spans="1:9">
      <c r="A36" s="10" t="s">
        <v>1116</v>
      </c>
      <c r="B36" s="10" t="s">
        <v>1117</v>
      </c>
      <c r="C36" s="10" t="s">
        <v>1118</v>
      </c>
      <c r="D36" s="10" t="s">
        <v>1119</v>
      </c>
      <c r="E36" s="10" t="s">
        <v>1120</v>
      </c>
      <c r="F36" s="10" t="s">
        <v>1121</v>
      </c>
      <c r="G36" s="10" t="s">
        <v>1122</v>
      </c>
      <c r="H36" s="11" t="s">
        <v>923</v>
      </c>
      <c r="I36" s="11" t="s">
        <v>63</v>
      </c>
    </row>
  </sheetData>
  <mergeCells count="3">
    <mergeCell ref="A1:I1"/>
    <mergeCell ref="A2:I2"/>
    <mergeCell ref="A3:I3"/>
  </mergeCells>
  <dataValidations count="1">
    <dataValidation type="list" sqref="H6:H36">
      <formula1>"待确认,已确认,待取证,整改中,已通过"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opLeftCell="A17" workbookViewId="0">
      <selection activeCell="B9" sqref="B9"/>
    </sheetView>
  </sheetViews>
  <sheetFormatPr defaultColWidth="9" defaultRowHeight="16.8" outlineLevelCol="7"/>
  <cols>
    <col min="1" max="1" width="12" customWidth="1"/>
    <col min="2" max="2" width="29" customWidth="1"/>
    <col min="3" max="4" width="40" customWidth="1"/>
    <col min="5" max="5" width="31" customWidth="1"/>
    <col min="6" max="6" width="29" customWidth="1"/>
    <col min="7" max="7" width="16" customWidth="1"/>
    <col min="8" max="8" width="40" customWidth="1"/>
  </cols>
  <sheetData>
    <row r="1" ht="40" customHeight="1" spans="1:8">
      <c r="A1" s="8" t="s">
        <v>1123</v>
      </c>
      <c r="B1" s="8"/>
      <c r="C1" s="8"/>
      <c r="D1" s="8"/>
      <c r="E1" s="8"/>
      <c r="F1" s="8"/>
      <c r="G1" s="8"/>
      <c r="H1" s="8"/>
    </row>
    <row r="2" ht="26" customHeight="1" spans="1:8">
      <c r="A2" s="2" t="s">
        <v>1124</v>
      </c>
      <c r="B2" s="2"/>
      <c r="C2" s="2"/>
      <c r="D2" s="2"/>
      <c r="E2" s="2"/>
      <c r="F2" s="2"/>
      <c r="G2" s="2"/>
      <c r="H2" s="2"/>
    </row>
    <row r="3" ht="26" customHeight="1" spans="1:8">
      <c r="A3" s="2" t="s">
        <v>41</v>
      </c>
      <c r="B3" s="2"/>
      <c r="C3" s="2"/>
      <c r="D3" s="2"/>
      <c r="E3" s="2"/>
      <c r="F3" s="2"/>
      <c r="G3" s="2"/>
      <c r="H3" s="2"/>
    </row>
    <row r="4" spans="1:8">
      <c r="A4" s="3"/>
      <c r="B4" s="3"/>
      <c r="C4" s="3"/>
      <c r="D4" s="3"/>
      <c r="E4" s="3"/>
      <c r="F4" s="3"/>
      <c r="G4" s="3"/>
      <c r="H4" s="3"/>
    </row>
    <row r="5" ht="32" customHeight="1" spans="1:8">
      <c r="A5" s="9" t="s">
        <v>1125</v>
      </c>
      <c r="B5" s="9" t="s">
        <v>4</v>
      </c>
      <c r="C5" s="9" t="s">
        <v>1126</v>
      </c>
      <c r="D5" s="9" t="s">
        <v>1127</v>
      </c>
      <c r="E5" s="9" t="s">
        <v>1128</v>
      </c>
      <c r="F5" s="9" t="s">
        <v>46</v>
      </c>
      <c r="G5" s="9" t="s">
        <v>1129</v>
      </c>
      <c r="H5" s="9" t="s">
        <v>1130</v>
      </c>
    </row>
    <row r="6" ht="95" customHeight="1" spans="1:8">
      <c r="A6" s="10" t="s">
        <v>1131</v>
      </c>
      <c r="B6" s="10" t="s">
        <v>1132</v>
      </c>
      <c r="C6" s="10" t="s">
        <v>1133</v>
      </c>
      <c r="D6" s="10" t="s">
        <v>1134</v>
      </c>
      <c r="E6" s="10" t="s">
        <v>1135</v>
      </c>
      <c r="F6" s="10" t="s">
        <v>936</v>
      </c>
      <c r="G6" s="11" t="s">
        <v>923</v>
      </c>
      <c r="H6" s="11" t="s">
        <v>63</v>
      </c>
    </row>
    <row r="7" ht="95" customHeight="1" spans="1:8">
      <c r="A7" s="10" t="s">
        <v>1136</v>
      </c>
      <c r="B7" s="10" t="s">
        <v>1137</v>
      </c>
      <c r="C7" s="10" t="s">
        <v>1138</v>
      </c>
      <c r="D7" s="10" t="s">
        <v>1139</v>
      </c>
      <c r="E7" s="10" t="s">
        <v>1140</v>
      </c>
      <c r="F7" s="10" t="s">
        <v>1141</v>
      </c>
      <c r="G7" s="11" t="s">
        <v>923</v>
      </c>
      <c r="H7" s="11" t="s">
        <v>63</v>
      </c>
    </row>
    <row r="8" ht="95" customHeight="1" spans="1:8">
      <c r="A8" s="10" t="s">
        <v>1142</v>
      </c>
      <c r="B8" s="10" t="s">
        <v>1143</v>
      </c>
      <c r="C8" s="10" t="s">
        <v>1144</v>
      </c>
      <c r="D8" s="10" t="s">
        <v>1145</v>
      </c>
      <c r="E8" s="10" t="s">
        <v>1146</v>
      </c>
      <c r="F8" s="10" t="s">
        <v>1147</v>
      </c>
      <c r="G8" s="11" t="s">
        <v>923</v>
      </c>
      <c r="H8" s="11" t="s">
        <v>63</v>
      </c>
    </row>
    <row r="9" ht="95" customHeight="1" spans="1:8">
      <c r="A9" s="10" t="s">
        <v>1148</v>
      </c>
      <c r="B9" s="10" t="s">
        <v>1149</v>
      </c>
      <c r="C9" s="10" t="s">
        <v>1150</v>
      </c>
      <c r="D9" s="10" t="s">
        <v>1151</v>
      </c>
      <c r="E9" s="10" t="s">
        <v>1152</v>
      </c>
      <c r="F9" s="10" t="s">
        <v>1153</v>
      </c>
      <c r="G9" s="11" t="s">
        <v>923</v>
      </c>
      <c r="H9" s="11" t="s">
        <v>63</v>
      </c>
    </row>
    <row r="10" ht="95" customHeight="1" spans="1:8">
      <c r="A10" s="10" t="s">
        <v>1154</v>
      </c>
      <c r="B10" s="10" t="s">
        <v>1155</v>
      </c>
      <c r="C10" s="10" t="s">
        <v>1156</v>
      </c>
      <c r="D10" s="10" t="s">
        <v>1157</v>
      </c>
      <c r="E10" s="10" t="s">
        <v>1158</v>
      </c>
      <c r="F10" s="10" t="s">
        <v>773</v>
      </c>
      <c r="G10" s="11" t="s">
        <v>923</v>
      </c>
      <c r="H10" s="11" t="s">
        <v>63</v>
      </c>
    </row>
    <row r="11" ht="95" customHeight="1" spans="1:8">
      <c r="A11" s="10" t="s">
        <v>1159</v>
      </c>
      <c r="B11" s="10" t="s">
        <v>1160</v>
      </c>
      <c r="C11" s="10" t="s">
        <v>1161</v>
      </c>
      <c r="D11" s="10" t="s">
        <v>1162</v>
      </c>
      <c r="E11" s="10" t="s">
        <v>1163</v>
      </c>
      <c r="F11" s="10" t="s">
        <v>493</v>
      </c>
      <c r="G11" s="11" t="s">
        <v>923</v>
      </c>
      <c r="H11" s="11" t="s">
        <v>63</v>
      </c>
    </row>
    <row r="12" ht="95" customHeight="1" spans="1:8">
      <c r="A12" s="10" t="s">
        <v>1164</v>
      </c>
      <c r="B12" s="10" t="s">
        <v>1165</v>
      </c>
      <c r="C12" s="10" t="s">
        <v>1166</v>
      </c>
      <c r="D12" s="10" t="s">
        <v>1167</v>
      </c>
      <c r="E12" s="10" t="s">
        <v>1168</v>
      </c>
      <c r="F12" s="10" t="s">
        <v>1169</v>
      </c>
      <c r="G12" s="11" t="s">
        <v>923</v>
      </c>
      <c r="H12" s="11" t="s">
        <v>63</v>
      </c>
    </row>
    <row r="13" ht="95" customHeight="1" spans="1:8">
      <c r="A13" s="10" t="s">
        <v>1170</v>
      </c>
      <c r="B13" s="10" t="s">
        <v>1171</v>
      </c>
      <c r="C13" s="10" t="s">
        <v>1172</v>
      </c>
      <c r="D13" s="10" t="s">
        <v>1173</v>
      </c>
      <c r="E13" s="10" t="s">
        <v>1174</v>
      </c>
      <c r="F13" s="10" t="s">
        <v>1175</v>
      </c>
      <c r="G13" s="11" t="s">
        <v>923</v>
      </c>
      <c r="H13" s="11" t="s">
        <v>63</v>
      </c>
    </row>
    <row r="14" ht="95" customHeight="1" spans="1:8">
      <c r="A14" s="10" t="s">
        <v>1176</v>
      </c>
      <c r="B14" s="10" t="s">
        <v>1177</v>
      </c>
      <c r="C14" s="10" t="s">
        <v>1178</v>
      </c>
      <c r="D14" s="10" t="s">
        <v>1179</v>
      </c>
      <c r="E14" s="10" t="s">
        <v>1180</v>
      </c>
      <c r="F14" s="10" t="s">
        <v>1181</v>
      </c>
      <c r="G14" s="11" t="s">
        <v>923</v>
      </c>
      <c r="H14" s="11" t="s">
        <v>63</v>
      </c>
    </row>
    <row r="15" ht="95" customHeight="1" spans="1:8">
      <c r="A15" s="10" t="s">
        <v>1182</v>
      </c>
      <c r="B15" s="10" t="s">
        <v>1183</v>
      </c>
      <c r="C15" s="10" t="s">
        <v>1184</v>
      </c>
      <c r="D15" s="10" t="s">
        <v>1185</v>
      </c>
      <c r="E15" s="10" t="s">
        <v>1186</v>
      </c>
      <c r="F15" s="10" t="s">
        <v>1187</v>
      </c>
      <c r="G15" s="11" t="s">
        <v>923</v>
      </c>
      <c r="H15" s="11" t="s">
        <v>63</v>
      </c>
    </row>
    <row r="16" ht="95" customHeight="1" spans="1:8">
      <c r="A16" s="10" t="s">
        <v>1188</v>
      </c>
      <c r="B16" s="10" t="s">
        <v>1189</v>
      </c>
      <c r="C16" s="10" t="s">
        <v>1190</v>
      </c>
      <c r="D16" s="10" t="s">
        <v>1191</v>
      </c>
      <c r="E16" s="10" t="s">
        <v>1192</v>
      </c>
      <c r="F16" s="10" t="s">
        <v>1193</v>
      </c>
      <c r="G16" s="11" t="s">
        <v>923</v>
      </c>
      <c r="H16" s="11" t="s">
        <v>63</v>
      </c>
    </row>
    <row r="17" ht="95" customHeight="1" spans="1:8">
      <c r="A17" s="10" t="s">
        <v>1194</v>
      </c>
      <c r="B17" s="10" t="s">
        <v>1195</v>
      </c>
      <c r="C17" s="10" t="s">
        <v>1196</v>
      </c>
      <c r="D17" s="10" t="s">
        <v>1197</v>
      </c>
      <c r="E17" s="10" t="s">
        <v>1198</v>
      </c>
      <c r="F17" s="10" t="s">
        <v>1199</v>
      </c>
      <c r="G17" s="11" t="s">
        <v>923</v>
      </c>
      <c r="H17" s="11" t="s">
        <v>63</v>
      </c>
    </row>
    <row r="18" ht="95" customHeight="1" spans="1:8">
      <c r="A18" s="10" t="s">
        <v>1200</v>
      </c>
      <c r="B18" s="10" t="s">
        <v>1201</v>
      </c>
      <c r="C18" s="10" t="s">
        <v>1202</v>
      </c>
      <c r="D18" s="10" t="s">
        <v>1203</v>
      </c>
      <c r="E18" s="10" t="s">
        <v>1204</v>
      </c>
      <c r="F18" s="10" t="s">
        <v>1205</v>
      </c>
      <c r="G18" s="11" t="s">
        <v>923</v>
      </c>
      <c r="H18" s="11" t="s">
        <v>63</v>
      </c>
    </row>
    <row r="19" ht="95" customHeight="1" spans="1:8">
      <c r="A19" s="10" t="s">
        <v>1206</v>
      </c>
      <c r="B19" s="10" t="s">
        <v>1207</v>
      </c>
      <c r="C19" s="10" t="s">
        <v>1208</v>
      </c>
      <c r="D19" s="10" t="s">
        <v>1209</v>
      </c>
      <c r="E19" s="10" t="s">
        <v>1210</v>
      </c>
      <c r="F19" s="10" t="s">
        <v>1211</v>
      </c>
      <c r="G19" s="11" t="s">
        <v>923</v>
      </c>
      <c r="H19" s="11" t="s">
        <v>63</v>
      </c>
    </row>
    <row r="20" ht="95" customHeight="1" spans="1:8">
      <c r="A20" s="10" t="s">
        <v>1212</v>
      </c>
      <c r="B20" s="10" t="s">
        <v>1213</v>
      </c>
      <c r="C20" s="10" t="s">
        <v>1214</v>
      </c>
      <c r="D20" s="10" t="s">
        <v>1215</v>
      </c>
      <c r="E20" s="10" t="s">
        <v>1216</v>
      </c>
      <c r="F20" s="10" t="s">
        <v>1217</v>
      </c>
      <c r="G20" s="11" t="s">
        <v>923</v>
      </c>
      <c r="H20" s="11" t="s">
        <v>63</v>
      </c>
    </row>
    <row r="21" ht="95" customHeight="1" spans="1:8">
      <c r="A21" s="10" t="s">
        <v>1218</v>
      </c>
      <c r="B21" s="10" t="s">
        <v>1219</v>
      </c>
      <c r="C21" s="10" t="s">
        <v>1220</v>
      </c>
      <c r="D21" s="10" t="s">
        <v>1221</v>
      </c>
      <c r="E21" s="10" t="s">
        <v>1222</v>
      </c>
      <c r="F21" s="10" t="s">
        <v>1223</v>
      </c>
      <c r="G21" s="11" t="s">
        <v>923</v>
      </c>
      <c r="H21" s="11" t="s">
        <v>63</v>
      </c>
    </row>
  </sheetData>
  <mergeCells count="3">
    <mergeCell ref="A1:H1"/>
    <mergeCell ref="A2:H2"/>
    <mergeCell ref="A3:H3"/>
  </mergeCells>
  <dataValidations count="1">
    <dataValidation type="list" sqref="G6:G21">
      <formula1>"待确认,处理中,已确认,需变更,已关闭"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2"/>
  <sheetViews>
    <sheetView workbookViewId="0">
      <selection activeCell="A1" sqref="A1:G1"/>
    </sheetView>
  </sheetViews>
  <sheetFormatPr defaultColWidth="9" defaultRowHeight="16.8" outlineLevelCol="6"/>
  <cols>
    <col min="1" max="1" width="31" customWidth="1"/>
    <col min="2" max="2" width="34" customWidth="1"/>
    <col min="3" max="3" width="40" customWidth="1"/>
    <col min="4" max="4" width="27" customWidth="1"/>
    <col min="5" max="5" width="38" customWidth="1"/>
    <col min="6" max="6" width="40" customWidth="1"/>
    <col min="7" max="7" width="35" customWidth="1"/>
  </cols>
  <sheetData>
    <row r="1" ht="40" customHeight="1" spans="1:7">
      <c r="A1" s="8" t="s">
        <v>1224</v>
      </c>
      <c r="B1" s="8"/>
      <c r="C1" s="8"/>
      <c r="D1" s="8"/>
      <c r="E1" s="8"/>
      <c r="F1" s="8"/>
      <c r="G1" s="8"/>
    </row>
    <row r="2" ht="26" customHeight="1" spans="1:7">
      <c r="A2" s="2" t="s">
        <v>1225</v>
      </c>
      <c r="B2" s="2"/>
      <c r="C2" s="2"/>
      <c r="D2" s="2"/>
      <c r="E2" s="2"/>
      <c r="F2" s="2"/>
      <c r="G2" s="2"/>
    </row>
    <row r="3" ht="26" customHeight="1" spans="1:7">
      <c r="A3" s="2" t="s">
        <v>41</v>
      </c>
      <c r="B3" s="2"/>
      <c r="C3" s="2"/>
      <c r="D3" s="2"/>
      <c r="E3" s="2"/>
      <c r="F3" s="2"/>
      <c r="G3" s="2"/>
    </row>
    <row r="4" spans="1:7">
      <c r="A4" s="3"/>
      <c r="B4" s="3"/>
      <c r="C4" s="3"/>
      <c r="D4" s="3"/>
      <c r="E4" s="3"/>
      <c r="F4" s="3"/>
      <c r="G4" s="3"/>
    </row>
    <row r="5" ht="32" customHeight="1" spans="1:7">
      <c r="A5" s="9" t="s">
        <v>1226</v>
      </c>
      <c r="B5" s="9" t="s">
        <v>1227</v>
      </c>
      <c r="C5" s="9" t="s">
        <v>1228</v>
      </c>
      <c r="D5" s="9" t="s">
        <v>1229</v>
      </c>
      <c r="E5" s="9" t="s">
        <v>1230</v>
      </c>
      <c r="F5" s="9" t="s">
        <v>1231</v>
      </c>
      <c r="G5" s="9" t="s">
        <v>53</v>
      </c>
    </row>
    <row r="6" ht="59" customHeight="1" spans="1:7">
      <c r="A6" s="10" t="s">
        <v>1232</v>
      </c>
      <c r="B6" s="10" t="s">
        <v>1233</v>
      </c>
      <c r="C6" s="10" t="s">
        <v>1234</v>
      </c>
      <c r="D6" s="10" t="s">
        <v>1235</v>
      </c>
      <c r="E6" s="10" t="s">
        <v>1236</v>
      </c>
      <c r="F6" s="11" t="s">
        <v>63</v>
      </c>
      <c r="G6" s="11" t="s">
        <v>63</v>
      </c>
    </row>
    <row r="7" ht="59" customHeight="1" spans="1:7">
      <c r="A7" s="10" t="s">
        <v>1237</v>
      </c>
      <c r="B7" s="10" t="s">
        <v>1238</v>
      </c>
      <c r="C7" s="10" t="s">
        <v>1239</v>
      </c>
      <c r="D7" s="10" t="s">
        <v>1235</v>
      </c>
      <c r="E7" s="10" t="s">
        <v>1236</v>
      </c>
      <c r="F7" s="11" t="s">
        <v>63</v>
      </c>
      <c r="G7" s="11" t="s">
        <v>63</v>
      </c>
    </row>
    <row r="8" ht="59" customHeight="1" spans="1:7">
      <c r="A8" s="10" t="s">
        <v>1240</v>
      </c>
      <c r="B8" s="10" t="s">
        <v>1241</v>
      </c>
      <c r="C8" s="10" t="s">
        <v>1242</v>
      </c>
      <c r="D8" s="10" t="s">
        <v>1235</v>
      </c>
      <c r="E8" s="10" t="s">
        <v>1236</v>
      </c>
      <c r="F8" s="11" t="s">
        <v>63</v>
      </c>
      <c r="G8" s="11" t="s">
        <v>63</v>
      </c>
    </row>
    <row r="9" ht="59" customHeight="1" spans="1:7">
      <c r="A9" s="10" t="s">
        <v>1243</v>
      </c>
      <c r="B9" s="10" t="s">
        <v>1244</v>
      </c>
      <c r="C9" s="10" t="s">
        <v>1245</v>
      </c>
      <c r="D9" s="10" t="s">
        <v>1235</v>
      </c>
      <c r="E9" s="10" t="s">
        <v>1236</v>
      </c>
      <c r="F9" s="11" t="s">
        <v>63</v>
      </c>
      <c r="G9" s="11" t="s">
        <v>63</v>
      </c>
    </row>
    <row r="10" ht="59" customHeight="1" spans="1:7">
      <c r="A10" s="10" t="s">
        <v>1246</v>
      </c>
      <c r="B10" s="10" t="s">
        <v>1247</v>
      </c>
      <c r="C10" s="10" t="s">
        <v>1248</v>
      </c>
      <c r="D10" s="10" t="s">
        <v>1235</v>
      </c>
      <c r="E10" s="10" t="s">
        <v>1236</v>
      </c>
      <c r="F10" s="11" t="s">
        <v>63</v>
      </c>
      <c r="G10" s="11" t="s">
        <v>63</v>
      </c>
    </row>
    <row r="11" ht="59" customHeight="1" spans="1:7">
      <c r="A11" s="10" t="s">
        <v>1249</v>
      </c>
      <c r="B11" s="10" t="s">
        <v>1250</v>
      </c>
      <c r="C11" s="10" t="s">
        <v>1245</v>
      </c>
      <c r="D11" s="10" t="s">
        <v>1235</v>
      </c>
      <c r="E11" s="10" t="s">
        <v>1236</v>
      </c>
      <c r="F11" s="11" t="s">
        <v>63</v>
      </c>
      <c r="G11" s="11" t="s">
        <v>63</v>
      </c>
    </row>
    <row r="12" ht="59" customHeight="1" spans="1:7">
      <c r="A12" s="10" t="s">
        <v>929</v>
      </c>
      <c r="B12" s="10" t="s">
        <v>1251</v>
      </c>
      <c r="C12" s="10" t="s">
        <v>924</v>
      </c>
      <c r="D12" s="10" t="s">
        <v>1235</v>
      </c>
      <c r="E12" s="10" t="s">
        <v>1236</v>
      </c>
      <c r="F12" s="11" t="s">
        <v>63</v>
      </c>
      <c r="G12" s="11" t="s">
        <v>63</v>
      </c>
    </row>
    <row r="13" ht="59" customHeight="1" spans="1:7">
      <c r="A13" s="10" t="s">
        <v>1252</v>
      </c>
      <c r="B13" s="10" t="s">
        <v>1253</v>
      </c>
      <c r="C13" s="10" t="s">
        <v>1254</v>
      </c>
      <c r="D13" s="10" t="s">
        <v>1235</v>
      </c>
      <c r="E13" s="10" t="s">
        <v>1236</v>
      </c>
      <c r="F13" s="11" t="s">
        <v>63</v>
      </c>
      <c r="G13" s="11" t="s">
        <v>63</v>
      </c>
    </row>
    <row r="14" ht="59" customHeight="1" spans="1:7">
      <c r="A14" s="10" t="s">
        <v>149</v>
      </c>
      <c r="B14" s="10" t="s">
        <v>1255</v>
      </c>
      <c r="C14" s="10" t="s">
        <v>1256</v>
      </c>
      <c r="D14" s="10" t="s">
        <v>1235</v>
      </c>
      <c r="E14" s="10" t="s">
        <v>1236</v>
      </c>
      <c r="F14" s="11" t="s">
        <v>63</v>
      </c>
      <c r="G14" s="11" t="s">
        <v>63</v>
      </c>
    </row>
    <row r="15" ht="59" customHeight="1" spans="1:7">
      <c r="A15" s="10" t="s">
        <v>1257</v>
      </c>
      <c r="B15" s="10" t="s">
        <v>1258</v>
      </c>
      <c r="C15" s="10" t="s">
        <v>1259</v>
      </c>
      <c r="D15" s="10" t="s">
        <v>1235</v>
      </c>
      <c r="E15" s="10" t="s">
        <v>1236</v>
      </c>
      <c r="F15" s="11" t="s">
        <v>63</v>
      </c>
      <c r="G15" s="11" t="s">
        <v>63</v>
      </c>
    </row>
    <row r="16" ht="59" customHeight="1" spans="1:7">
      <c r="A16" s="10" t="s">
        <v>194</v>
      </c>
      <c r="B16" s="10" t="s">
        <v>191</v>
      </c>
      <c r="C16" s="10" t="s">
        <v>190</v>
      </c>
      <c r="D16" s="10" t="s">
        <v>1235</v>
      </c>
      <c r="E16" s="10" t="s">
        <v>1236</v>
      </c>
      <c r="F16" s="11" t="s">
        <v>63</v>
      </c>
      <c r="G16" s="11" t="s">
        <v>63</v>
      </c>
    </row>
    <row r="17" ht="59" customHeight="1" spans="1:7">
      <c r="A17" s="10" t="s">
        <v>1260</v>
      </c>
      <c r="B17" s="10" t="s">
        <v>1261</v>
      </c>
      <c r="C17" s="10" t="s">
        <v>1262</v>
      </c>
      <c r="D17" s="10" t="s">
        <v>1235</v>
      </c>
      <c r="E17" s="10" t="s">
        <v>1236</v>
      </c>
      <c r="F17" s="11" t="s">
        <v>63</v>
      </c>
      <c r="G17" s="11" t="s">
        <v>63</v>
      </c>
    </row>
    <row r="18" ht="59" customHeight="1" spans="1:7">
      <c r="A18" s="10" t="s">
        <v>200</v>
      </c>
      <c r="B18" s="10" t="s">
        <v>1263</v>
      </c>
      <c r="C18" s="10" t="s">
        <v>1264</v>
      </c>
      <c r="D18" s="10" t="s">
        <v>1235</v>
      </c>
      <c r="E18" s="10" t="s">
        <v>1236</v>
      </c>
      <c r="F18" s="11" t="s">
        <v>63</v>
      </c>
      <c r="G18" s="11" t="s">
        <v>63</v>
      </c>
    </row>
    <row r="19" ht="59" customHeight="1" spans="1:7">
      <c r="A19" s="10" t="s">
        <v>212</v>
      </c>
      <c r="B19" s="10" t="s">
        <v>1265</v>
      </c>
      <c r="C19" s="10" t="s">
        <v>1266</v>
      </c>
      <c r="D19" s="10" t="s">
        <v>1235</v>
      </c>
      <c r="E19" s="10" t="s">
        <v>1236</v>
      </c>
      <c r="F19" s="11" t="s">
        <v>63</v>
      </c>
      <c r="G19" s="11" t="s">
        <v>63</v>
      </c>
    </row>
    <row r="20" ht="59" customHeight="1" spans="1:7">
      <c r="A20" s="10" t="s">
        <v>252</v>
      </c>
      <c r="B20" s="10" t="s">
        <v>1267</v>
      </c>
      <c r="C20" s="10" t="s">
        <v>249</v>
      </c>
      <c r="D20" s="10" t="s">
        <v>1235</v>
      </c>
      <c r="E20" s="10" t="s">
        <v>1236</v>
      </c>
      <c r="F20" s="11" t="s">
        <v>63</v>
      </c>
      <c r="G20" s="11" t="s">
        <v>63</v>
      </c>
    </row>
    <row r="21" ht="59" customHeight="1" spans="1:7">
      <c r="A21" s="10" t="s">
        <v>1268</v>
      </c>
      <c r="B21" s="10" t="s">
        <v>1269</v>
      </c>
      <c r="C21" s="10" t="s">
        <v>1270</v>
      </c>
      <c r="D21" s="10" t="s">
        <v>1235</v>
      </c>
      <c r="E21" s="10" t="s">
        <v>1236</v>
      </c>
      <c r="F21" s="11" t="s">
        <v>63</v>
      </c>
      <c r="G21" s="11" t="s">
        <v>63</v>
      </c>
    </row>
    <row r="22" ht="59" customHeight="1" spans="1:7">
      <c r="A22" s="10" t="s">
        <v>1271</v>
      </c>
      <c r="B22" s="10" t="s">
        <v>1272</v>
      </c>
      <c r="C22" s="10" t="s">
        <v>1273</v>
      </c>
      <c r="D22" s="10" t="s">
        <v>1235</v>
      </c>
      <c r="E22" s="10" t="s">
        <v>1236</v>
      </c>
      <c r="F22" s="11" t="s">
        <v>63</v>
      </c>
      <c r="G22" s="11" t="s">
        <v>63</v>
      </c>
    </row>
    <row r="23" ht="59" customHeight="1" spans="1:7">
      <c r="A23" s="10" t="s">
        <v>721</v>
      </c>
      <c r="B23" s="10" t="s">
        <v>1274</v>
      </c>
      <c r="C23" s="10" t="s">
        <v>1275</v>
      </c>
      <c r="D23" s="10" t="s">
        <v>1235</v>
      </c>
      <c r="E23" s="10" t="s">
        <v>1236</v>
      </c>
      <c r="F23" s="11" t="s">
        <v>63</v>
      </c>
      <c r="G23" s="11" t="s">
        <v>63</v>
      </c>
    </row>
    <row r="24" ht="59" customHeight="1" spans="1:7">
      <c r="A24" s="10" t="s">
        <v>232</v>
      </c>
      <c r="B24" s="10" t="s">
        <v>1276</v>
      </c>
      <c r="C24" s="10" t="s">
        <v>1277</v>
      </c>
      <c r="D24" s="10" t="s">
        <v>1235</v>
      </c>
      <c r="E24" s="10" t="s">
        <v>1236</v>
      </c>
      <c r="F24" s="11" t="s">
        <v>63</v>
      </c>
      <c r="G24" s="11" t="s">
        <v>63</v>
      </c>
    </row>
    <row r="25" ht="59" customHeight="1" spans="1:7">
      <c r="A25" s="10" t="s">
        <v>1278</v>
      </c>
      <c r="B25" s="10" t="s">
        <v>1279</v>
      </c>
      <c r="C25" s="10" t="s">
        <v>1280</v>
      </c>
      <c r="D25" s="10" t="s">
        <v>1235</v>
      </c>
      <c r="E25" s="10" t="s">
        <v>1236</v>
      </c>
      <c r="F25" s="11" t="s">
        <v>63</v>
      </c>
      <c r="G25" s="11" t="s">
        <v>63</v>
      </c>
    </row>
    <row r="26" ht="59" customHeight="1" spans="1:7">
      <c r="A26" s="10" t="s">
        <v>1281</v>
      </c>
      <c r="B26" s="10" t="s">
        <v>1282</v>
      </c>
      <c r="C26" s="10" t="s">
        <v>1283</v>
      </c>
      <c r="D26" s="10" t="s">
        <v>1235</v>
      </c>
      <c r="E26" s="10" t="s">
        <v>1236</v>
      </c>
      <c r="F26" s="11" t="s">
        <v>63</v>
      </c>
      <c r="G26" s="11" t="s">
        <v>63</v>
      </c>
    </row>
    <row r="27" ht="59" customHeight="1" spans="1:7">
      <c r="A27" s="10" t="s">
        <v>1284</v>
      </c>
      <c r="B27" s="10" t="s">
        <v>1285</v>
      </c>
      <c r="C27" s="10" t="s">
        <v>1286</v>
      </c>
      <c r="D27" s="10" t="s">
        <v>1235</v>
      </c>
      <c r="E27" s="10" t="s">
        <v>1236</v>
      </c>
      <c r="F27" s="11" t="s">
        <v>63</v>
      </c>
      <c r="G27" s="11" t="s">
        <v>63</v>
      </c>
    </row>
    <row r="28" ht="59" customHeight="1" spans="1:7">
      <c r="A28" s="10" t="s">
        <v>1287</v>
      </c>
      <c r="B28" s="10" t="s">
        <v>1288</v>
      </c>
      <c r="C28" s="10" t="s">
        <v>1116</v>
      </c>
      <c r="D28" s="10" t="s">
        <v>1235</v>
      </c>
      <c r="E28" s="10" t="s">
        <v>1236</v>
      </c>
      <c r="F28" s="11" t="s">
        <v>63</v>
      </c>
      <c r="G28" s="11" t="s">
        <v>63</v>
      </c>
    </row>
    <row r="29" ht="59" customHeight="1" spans="1:7">
      <c r="A29" s="10" t="s">
        <v>1289</v>
      </c>
      <c r="B29" s="10" t="s">
        <v>1290</v>
      </c>
      <c r="C29" s="10" t="s">
        <v>848</v>
      </c>
      <c r="D29" s="10" t="s">
        <v>1235</v>
      </c>
      <c r="E29" s="10" t="s">
        <v>1236</v>
      </c>
      <c r="F29" s="11" t="s">
        <v>63</v>
      </c>
      <c r="G29" s="11" t="s">
        <v>63</v>
      </c>
    </row>
    <row r="30" ht="59" customHeight="1" spans="1:7">
      <c r="A30" s="10" t="s">
        <v>1291</v>
      </c>
      <c r="B30" s="10" t="s">
        <v>1292</v>
      </c>
      <c r="C30" s="10" t="s">
        <v>1293</v>
      </c>
      <c r="D30" s="10" t="s">
        <v>1235</v>
      </c>
      <c r="E30" s="10" t="s">
        <v>1236</v>
      </c>
      <c r="F30" s="11" t="s">
        <v>63</v>
      </c>
      <c r="G30" s="11" t="s">
        <v>63</v>
      </c>
    </row>
    <row r="31" ht="59" customHeight="1" spans="1:7">
      <c r="A31" s="10" t="s">
        <v>1294</v>
      </c>
      <c r="B31" s="10" t="s">
        <v>1295</v>
      </c>
      <c r="C31" s="10" t="s">
        <v>288</v>
      </c>
      <c r="D31" s="10" t="s">
        <v>1235</v>
      </c>
      <c r="E31" s="10" t="s">
        <v>1236</v>
      </c>
      <c r="F31" s="11" t="s">
        <v>63</v>
      </c>
      <c r="G31" s="11" t="s">
        <v>63</v>
      </c>
    </row>
    <row r="32" ht="59" customHeight="1" spans="1:7">
      <c r="A32" s="10" t="s">
        <v>317</v>
      </c>
      <c r="B32" s="10" t="s">
        <v>1296</v>
      </c>
      <c r="C32" s="10" t="s">
        <v>1297</v>
      </c>
      <c r="D32" s="10" t="s">
        <v>1235</v>
      </c>
      <c r="E32" s="10" t="s">
        <v>1236</v>
      </c>
      <c r="F32" s="11" t="s">
        <v>63</v>
      </c>
      <c r="G32" s="11" t="s">
        <v>63</v>
      </c>
    </row>
    <row r="33" ht="59" customHeight="1" spans="1:7">
      <c r="A33" s="10" t="s">
        <v>1298</v>
      </c>
      <c r="B33" s="10" t="s">
        <v>1299</v>
      </c>
      <c r="C33" s="10" t="s">
        <v>1300</v>
      </c>
      <c r="D33" s="10" t="s">
        <v>1235</v>
      </c>
      <c r="E33" s="10" t="s">
        <v>1236</v>
      </c>
      <c r="F33" s="11" t="s">
        <v>63</v>
      </c>
      <c r="G33" s="11" t="s">
        <v>63</v>
      </c>
    </row>
    <row r="34" ht="59" customHeight="1" spans="1:7">
      <c r="A34" s="10" t="s">
        <v>341</v>
      </c>
      <c r="B34" s="10" t="s">
        <v>1301</v>
      </c>
      <c r="C34" s="10" t="s">
        <v>1302</v>
      </c>
      <c r="D34" s="10" t="s">
        <v>1235</v>
      </c>
      <c r="E34" s="10" t="s">
        <v>1236</v>
      </c>
      <c r="F34" s="11" t="s">
        <v>63</v>
      </c>
      <c r="G34" s="11" t="s">
        <v>63</v>
      </c>
    </row>
    <row r="35" ht="59" customHeight="1" spans="1:7">
      <c r="A35" s="10" t="s">
        <v>353</v>
      </c>
      <c r="B35" s="10" t="s">
        <v>1303</v>
      </c>
      <c r="C35" s="10" t="s">
        <v>1304</v>
      </c>
      <c r="D35" s="10" t="s">
        <v>1235</v>
      </c>
      <c r="E35" s="10" t="s">
        <v>1236</v>
      </c>
      <c r="F35" s="11" t="s">
        <v>63</v>
      </c>
      <c r="G35" s="11" t="s">
        <v>63</v>
      </c>
    </row>
    <row r="36" ht="59" customHeight="1" spans="1:7">
      <c r="A36" s="10" t="s">
        <v>382</v>
      </c>
      <c r="B36" s="10" t="s">
        <v>1305</v>
      </c>
      <c r="C36" s="10" t="s">
        <v>1306</v>
      </c>
      <c r="D36" s="10" t="s">
        <v>1235</v>
      </c>
      <c r="E36" s="10" t="s">
        <v>1236</v>
      </c>
      <c r="F36" s="11" t="s">
        <v>63</v>
      </c>
      <c r="G36" s="11" t="s">
        <v>63</v>
      </c>
    </row>
    <row r="37" ht="59" customHeight="1" spans="1:7">
      <c r="A37" s="10" t="s">
        <v>403</v>
      </c>
      <c r="B37" s="10" t="s">
        <v>1307</v>
      </c>
      <c r="C37" s="10" t="s">
        <v>1308</v>
      </c>
      <c r="D37" s="10" t="s">
        <v>1235</v>
      </c>
      <c r="E37" s="10" t="s">
        <v>1236</v>
      </c>
      <c r="F37" s="11" t="s">
        <v>63</v>
      </c>
      <c r="G37" s="11" t="s">
        <v>63</v>
      </c>
    </row>
    <row r="38" ht="59" customHeight="1" spans="1:7">
      <c r="A38" s="10" t="s">
        <v>416</v>
      </c>
      <c r="B38" s="10" t="s">
        <v>1309</v>
      </c>
      <c r="C38" s="10" t="s">
        <v>1310</v>
      </c>
      <c r="D38" s="10" t="s">
        <v>1235</v>
      </c>
      <c r="E38" s="10" t="s">
        <v>1236</v>
      </c>
      <c r="F38" s="11" t="s">
        <v>63</v>
      </c>
      <c r="G38" s="11" t="s">
        <v>63</v>
      </c>
    </row>
    <row r="39" ht="59" customHeight="1" spans="1:7">
      <c r="A39" s="10" t="s">
        <v>311</v>
      </c>
      <c r="B39" s="10" t="s">
        <v>1311</v>
      </c>
      <c r="C39" s="10" t="s">
        <v>1312</v>
      </c>
      <c r="D39" s="10" t="s">
        <v>1235</v>
      </c>
      <c r="E39" s="10" t="s">
        <v>1236</v>
      </c>
      <c r="F39" s="11" t="s">
        <v>63</v>
      </c>
      <c r="G39" s="11" t="s">
        <v>63</v>
      </c>
    </row>
    <row r="40" ht="59" customHeight="1" spans="1:7">
      <c r="A40" s="10" t="s">
        <v>1313</v>
      </c>
      <c r="B40" s="10" t="s">
        <v>1314</v>
      </c>
      <c r="C40" s="10" t="s">
        <v>724</v>
      </c>
      <c r="D40" s="10" t="s">
        <v>1235</v>
      </c>
      <c r="E40" s="10" t="s">
        <v>1236</v>
      </c>
      <c r="F40" s="11" t="s">
        <v>63</v>
      </c>
      <c r="G40" s="11" t="s">
        <v>63</v>
      </c>
    </row>
    <row r="41" ht="59" customHeight="1" spans="1:7">
      <c r="A41" s="10" t="s">
        <v>1315</v>
      </c>
      <c r="B41" s="10" t="s">
        <v>1316</v>
      </c>
      <c r="C41" s="10" t="s">
        <v>1317</v>
      </c>
      <c r="D41" s="10" t="s">
        <v>1235</v>
      </c>
      <c r="E41" s="10" t="s">
        <v>1236</v>
      </c>
      <c r="F41" s="11" t="s">
        <v>63</v>
      </c>
      <c r="G41" s="11" t="s">
        <v>63</v>
      </c>
    </row>
    <row r="42" ht="59" customHeight="1" spans="1:7">
      <c r="A42" s="10" t="s">
        <v>1318</v>
      </c>
      <c r="B42" s="10" t="s">
        <v>1319</v>
      </c>
      <c r="C42" s="10" t="s">
        <v>1320</v>
      </c>
      <c r="D42" s="10" t="s">
        <v>1235</v>
      </c>
      <c r="E42" s="10" t="s">
        <v>1236</v>
      </c>
      <c r="F42" s="11" t="s">
        <v>63</v>
      </c>
      <c r="G42" s="11" t="s">
        <v>63</v>
      </c>
    </row>
    <row r="43" ht="59" customHeight="1" spans="1:7">
      <c r="A43" s="10" t="s">
        <v>1321</v>
      </c>
      <c r="B43" s="10" t="s">
        <v>1322</v>
      </c>
      <c r="C43" s="10" t="s">
        <v>1323</v>
      </c>
      <c r="D43" s="10" t="s">
        <v>1235</v>
      </c>
      <c r="E43" s="10" t="s">
        <v>1236</v>
      </c>
      <c r="F43" s="11" t="s">
        <v>63</v>
      </c>
      <c r="G43" s="11" t="s">
        <v>63</v>
      </c>
    </row>
    <row r="44" ht="59" customHeight="1" spans="1:7">
      <c r="A44" s="10" t="s">
        <v>442</v>
      </c>
      <c r="B44" s="10" t="s">
        <v>1324</v>
      </c>
      <c r="C44" s="10" t="s">
        <v>1325</v>
      </c>
      <c r="D44" s="10" t="s">
        <v>1235</v>
      </c>
      <c r="E44" s="10" t="s">
        <v>1236</v>
      </c>
      <c r="F44" s="11" t="s">
        <v>63</v>
      </c>
      <c r="G44" s="11" t="s">
        <v>63</v>
      </c>
    </row>
    <row r="45" ht="59" customHeight="1" spans="1:7">
      <c r="A45" s="10" t="s">
        <v>1021</v>
      </c>
      <c r="B45" s="10" t="s">
        <v>1326</v>
      </c>
      <c r="C45" s="10" t="s">
        <v>1017</v>
      </c>
      <c r="D45" s="10" t="s">
        <v>1235</v>
      </c>
      <c r="E45" s="10" t="s">
        <v>1236</v>
      </c>
      <c r="F45" s="11" t="s">
        <v>63</v>
      </c>
      <c r="G45" s="11" t="s">
        <v>63</v>
      </c>
    </row>
    <row r="46" ht="59" customHeight="1" spans="1:7">
      <c r="A46" s="10" t="s">
        <v>1327</v>
      </c>
      <c r="B46" s="10" t="s">
        <v>1328</v>
      </c>
      <c r="C46" s="10" t="s">
        <v>301</v>
      </c>
      <c r="D46" s="10" t="s">
        <v>1235</v>
      </c>
      <c r="E46" s="10" t="s">
        <v>1236</v>
      </c>
      <c r="F46" s="11" t="s">
        <v>63</v>
      </c>
      <c r="G46" s="11" t="s">
        <v>63</v>
      </c>
    </row>
    <row r="47" ht="59" customHeight="1" spans="1:7">
      <c r="A47" s="10" t="s">
        <v>435</v>
      </c>
      <c r="B47" s="10" t="s">
        <v>1329</v>
      </c>
      <c r="C47" s="10" t="s">
        <v>1330</v>
      </c>
      <c r="D47" s="10" t="s">
        <v>1235</v>
      </c>
      <c r="E47" s="10" t="s">
        <v>1236</v>
      </c>
      <c r="F47" s="11" t="s">
        <v>63</v>
      </c>
      <c r="G47" s="11" t="s">
        <v>63</v>
      </c>
    </row>
    <row r="48" ht="59" customHeight="1" spans="1:7">
      <c r="A48" s="10" t="s">
        <v>467</v>
      </c>
      <c r="B48" s="10" t="s">
        <v>1331</v>
      </c>
      <c r="C48" s="10" t="s">
        <v>1332</v>
      </c>
      <c r="D48" s="10" t="s">
        <v>1235</v>
      </c>
      <c r="E48" s="10" t="s">
        <v>1236</v>
      </c>
      <c r="F48" s="11" t="s">
        <v>63</v>
      </c>
      <c r="G48" s="11" t="s">
        <v>63</v>
      </c>
    </row>
    <row r="49" ht="59" customHeight="1" spans="1:7">
      <c r="A49" s="10" t="s">
        <v>1333</v>
      </c>
      <c r="B49" s="10" t="s">
        <v>1334</v>
      </c>
      <c r="C49" s="10" t="s">
        <v>1335</v>
      </c>
      <c r="D49" s="10" t="s">
        <v>1235</v>
      </c>
      <c r="E49" s="10" t="s">
        <v>1236</v>
      </c>
      <c r="F49" s="11" t="s">
        <v>63</v>
      </c>
      <c r="G49" s="11" t="s">
        <v>63</v>
      </c>
    </row>
    <row r="50" ht="59" customHeight="1" spans="1:7">
      <c r="A50" s="10" t="s">
        <v>474</v>
      </c>
      <c r="B50" s="10" t="s">
        <v>1336</v>
      </c>
      <c r="C50" s="10" t="s">
        <v>1337</v>
      </c>
      <c r="D50" s="10" t="s">
        <v>1235</v>
      </c>
      <c r="E50" s="10" t="s">
        <v>1236</v>
      </c>
      <c r="F50" s="11" t="s">
        <v>63</v>
      </c>
      <c r="G50" s="11" t="s">
        <v>63</v>
      </c>
    </row>
    <row r="51" ht="59" customHeight="1" spans="1:7">
      <c r="A51" s="10" t="s">
        <v>595</v>
      </c>
      <c r="B51" s="10" t="s">
        <v>1338</v>
      </c>
      <c r="C51" s="10" t="s">
        <v>1339</v>
      </c>
      <c r="D51" s="10" t="s">
        <v>1235</v>
      </c>
      <c r="E51" s="10" t="s">
        <v>1236</v>
      </c>
      <c r="F51" s="11" t="s">
        <v>63</v>
      </c>
      <c r="G51" s="11" t="s">
        <v>63</v>
      </c>
    </row>
    <row r="52" ht="59" customHeight="1" spans="1:7">
      <c r="A52" s="10" t="s">
        <v>624</v>
      </c>
      <c r="B52" s="10" t="s">
        <v>1340</v>
      </c>
      <c r="C52" s="10" t="s">
        <v>1341</v>
      </c>
      <c r="D52" s="10" t="s">
        <v>1235</v>
      </c>
      <c r="E52" s="10" t="s">
        <v>1236</v>
      </c>
      <c r="F52" s="11" t="s">
        <v>63</v>
      </c>
      <c r="G52" s="11" t="s">
        <v>63</v>
      </c>
    </row>
    <row r="53" ht="59" customHeight="1" spans="1:7">
      <c r="A53" s="10" t="s">
        <v>493</v>
      </c>
      <c r="B53" s="10" t="s">
        <v>1342</v>
      </c>
      <c r="C53" s="10" t="s">
        <v>1343</v>
      </c>
      <c r="D53" s="10" t="s">
        <v>1235</v>
      </c>
      <c r="E53" s="10" t="s">
        <v>1236</v>
      </c>
      <c r="F53" s="11" t="s">
        <v>63</v>
      </c>
      <c r="G53" s="11" t="s">
        <v>63</v>
      </c>
    </row>
    <row r="54" ht="59" customHeight="1" spans="1:7">
      <c r="A54" s="10" t="s">
        <v>510</v>
      </c>
      <c r="B54" s="10" t="s">
        <v>1344</v>
      </c>
      <c r="C54" s="10" t="s">
        <v>506</v>
      </c>
      <c r="D54" s="10" t="s">
        <v>1235</v>
      </c>
      <c r="E54" s="10" t="s">
        <v>1236</v>
      </c>
      <c r="F54" s="11" t="s">
        <v>63</v>
      </c>
      <c r="G54" s="11" t="s">
        <v>63</v>
      </c>
    </row>
    <row r="55" ht="59" customHeight="1" spans="1:7">
      <c r="A55" s="10" t="s">
        <v>517</v>
      </c>
      <c r="B55" s="10" t="s">
        <v>514</v>
      </c>
      <c r="C55" s="10" t="s">
        <v>513</v>
      </c>
      <c r="D55" s="10" t="s">
        <v>1235</v>
      </c>
      <c r="E55" s="10" t="s">
        <v>1236</v>
      </c>
      <c r="F55" s="11" t="s">
        <v>63</v>
      </c>
      <c r="G55" s="11" t="s">
        <v>63</v>
      </c>
    </row>
    <row r="56" ht="59" customHeight="1" spans="1:7">
      <c r="A56" s="10" t="s">
        <v>524</v>
      </c>
      <c r="B56" s="10" t="s">
        <v>1345</v>
      </c>
      <c r="C56" s="10" t="s">
        <v>1346</v>
      </c>
      <c r="D56" s="10" t="s">
        <v>1235</v>
      </c>
      <c r="E56" s="10" t="s">
        <v>1236</v>
      </c>
      <c r="F56" s="11" t="s">
        <v>63</v>
      </c>
      <c r="G56" s="11" t="s">
        <v>63</v>
      </c>
    </row>
    <row r="57" ht="59" customHeight="1" spans="1:7">
      <c r="A57" s="10" t="s">
        <v>542</v>
      </c>
      <c r="B57" s="10" t="s">
        <v>1347</v>
      </c>
      <c r="C57" s="10" t="s">
        <v>1348</v>
      </c>
      <c r="D57" s="10" t="s">
        <v>1235</v>
      </c>
      <c r="E57" s="10" t="s">
        <v>1236</v>
      </c>
      <c r="F57" s="11" t="s">
        <v>63</v>
      </c>
      <c r="G57" s="11" t="s">
        <v>63</v>
      </c>
    </row>
    <row r="58" ht="59" customHeight="1" spans="1:7">
      <c r="A58" s="10" t="s">
        <v>560</v>
      </c>
      <c r="B58" s="10" t="s">
        <v>1349</v>
      </c>
      <c r="C58" s="10" t="s">
        <v>1350</v>
      </c>
      <c r="D58" s="10" t="s">
        <v>1235</v>
      </c>
      <c r="E58" s="10" t="s">
        <v>1236</v>
      </c>
      <c r="F58" s="11" t="s">
        <v>63</v>
      </c>
      <c r="G58" s="11" t="s">
        <v>63</v>
      </c>
    </row>
    <row r="59" ht="59" customHeight="1" spans="1:7">
      <c r="A59" s="10" t="s">
        <v>579</v>
      </c>
      <c r="B59" s="10" t="s">
        <v>1351</v>
      </c>
      <c r="C59" s="10" t="s">
        <v>1352</v>
      </c>
      <c r="D59" s="10" t="s">
        <v>1235</v>
      </c>
      <c r="E59" s="10" t="s">
        <v>1236</v>
      </c>
      <c r="F59" s="11" t="s">
        <v>63</v>
      </c>
      <c r="G59" s="11" t="s">
        <v>63</v>
      </c>
    </row>
    <row r="60" ht="59" customHeight="1" spans="1:7">
      <c r="A60" s="10" t="s">
        <v>753</v>
      </c>
      <c r="B60" s="10" t="s">
        <v>1353</v>
      </c>
      <c r="C60" s="10" t="s">
        <v>750</v>
      </c>
      <c r="D60" s="10" t="s">
        <v>1235</v>
      </c>
      <c r="E60" s="10" t="s">
        <v>1236</v>
      </c>
      <c r="F60" s="11" t="s">
        <v>63</v>
      </c>
      <c r="G60" s="11" t="s">
        <v>63</v>
      </c>
    </row>
    <row r="61" ht="59" customHeight="1" spans="1:7">
      <c r="A61" s="10" t="s">
        <v>651</v>
      </c>
      <c r="B61" s="10" t="s">
        <v>1354</v>
      </c>
      <c r="C61" s="10" t="s">
        <v>1355</v>
      </c>
      <c r="D61" s="10" t="s">
        <v>1235</v>
      </c>
      <c r="E61" s="10" t="s">
        <v>1236</v>
      </c>
      <c r="F61" s="11" t="s">
        <v>63</v>
      </c>
      <c r="G61" s="11" t="s">
        <v>63</v>
      </c>
    </row>
    <row r="62" ht="59" customHeight="1" spans="1:7">
      <c r="A62" s="10" t="s">
        <v>645</v>
      </c>
      <c r="B62" s="10" t="s">
        <v>1356</v>
      </c>
      <c r="C62" s="10" t="s">
        <v>641</v>
      </c>
      <c r="D62" s="10" t="s">
        <v>1235</v>
      </c>
      <c r="E62" s="10" t="s">
        <v>1236</v>
      </c>
      <c r="F62" s="11" t="s">
        <v>63</v>
      </c>
      <c r="G62" s="11" t="s">
        <v>63</v>
      </c>
    </row>
    <row r="63" ht="59" customHeight="1" spans="1:7">
      <c r="A63" s="10" t="s">
        <v>638</v>
      </c>
      <c r="B63" s="10" t="s">
        <v>1357</v>
      </c>
      <c r="C63" s="10" t="s">
        <v>1358</v>
      </c>
      <c r="D63" s="10" t="s">
        <v>1235</v>
      </c>
      <c r="E63" s="10" t="s">
        <v>1236</v>
      </c>
      <c r="F63" s="11" t="s">
        <v>63</v>
      </c>
      <c r="G63" s="11" t="s">
        <v>63</v>
      </c>
    </row>
    <row r="64" ht="59" customHeight="1" spans="1:7">
      <c r="A64" s="10" t="s">
        <v>668</v>
      </c>
      <c r="B64" s="10" t="s">
        <v>1359</v>
      </c>
      <c r="C64" s="10" t="s">
        <v>1360</v>
      </c>
      <c r="D64" s="10" t="s">
        <v>1235</v>
      </c>
      <c r="E64" s="10" t="s">
        <v>1236</v>
      </c>
      <c r="F64" s="11" t="s">
        <v>63</v>
      </c>
      <c r="G64" s="11" t="s">
        <v>63</v>
      </c>
    </row>
    <row r="65" ht="59" customHeight="1" spans="1:7">
      <c r="A65" s="10" t="s">
        <v>684</v>
      </c>
      <c r="B65" s="10" t="s">
        <v>1361</v>
      </c>
      <c r="C65" s="10" t="s">
        <v>1362</v>
      </c>
      <c r="D65" s="10" t="s">
        <v>1235</v>
      </c>
      <c r="E65" s="10" t="s">
        <v>1236</v>
      </c>
      <c r="F65" s="11" t="s">
        <v>63</v>
      </c>
      <c r="G65" s="11" t="s">
        <v>63</v>
      </c>
    </row>
    <row r="66" ht="59" customHeight="1" spans="1:7">
      <c r="A66" s="10" t="s">
        <v>695</v>
      </c>
      <c r="B66" s="10" t="s">
        <v>1363</v>
      </c>
      <c r="C66" s="10" t="s">
        <v>1364</v>
      </c>
      <c r="D66" s="10" t="s">
        <v>1235</v>
      </c>
      <c r="E66" s="10" t="s">
        <v>1236</v>
      </c>
      <c r="F66" s="11" t="s">
        <v>63</v>
      </c>
      <c r="G66" s="11" t="s">
        <v>63</v>
      </c>
    </row>
    <row r="67" ht="59" customHeight="1" spans="1:7">
      <c r="A67" s="10" t="s">
        <v>1365</v>
      </c>
      <c r="B67" s="10" t="s">
        <v>764</v>
      </c>
      <c r="C67" s="10" t="s">
        <v>763</v>
      </c>
      <c r="D67" s="10" t="s">
        <v>1235</v>
      </c>
      <c r="E67" s="10" t="s">
        <v>1236</v>
      </c>
      <c r="F67" s="11" t="s">
        <v>63</v>
      </c>
      <c r="G67" s="11" t="s">
        <v>63</v>
      </c>
    </row>
    <row r="68" ht="59" customHeight="1" spans="1:7">
      <c r="A68" s="10" t="s">
        <v>1366</v>
      </c>
      <c r="B68" s="10" t="s">
        <v>1367</v>
      </c>
      <c r="C68" s="10" t="s">
        <v>1248</v>
      </c>
      <c r="D68" s="10" t="s">
        <v>1235</v>
      </c>
      <c r="E68" s="10" t="s">
        <v>1236</v>
      </c>
      <c r="F68" s="11" t="s">
        <v>63</v>
      </c>
      <c r="G68" s="11" t="s">
        <v>63</v>
      </c>
    </row>
    <row r="69" ht="59" customHeight="1" spans="1:7">
      <c r="A69" s="10" t="s">
        <v>1368</v>
      </c>
      <c r="B69" s="10" t="s">
        <v>1369</v>
      </c>
      <c r="C69" s="10" t="s">
        <v>816</v>
      </c>
      <c r="D69" s="10" t="s">
        <v>1235</v>
      </c>
      <c r="E69" s="10" t="s">
        <v>1236</v>
      </c>
      <c r="F69" s="11" t="s">
        <v>63</v>
      </c>
      <c r="G69" s="11" t="s">
        <v>63</v>
      </c>
    </row>
    <row r="70" ht="59" customHeight="1" spans="1:7">
      <c r="A70" s="10" t="s">
        <v>786</v>
      </c>
      <c r="B70" s="10" t="s">
        <v>1370</v>
      </c>
      <c r="C70" s="10" t="s">
        <v>1371</v>
      </c>
      <c r="D70" s="10" t="s">
        <v>1235</v>
      </c>
      <c r="E70" s="10" t="s">
        <v>1236</v>
      </c>
      <c r="F70" s="11" t="s">
        <v>63</v>
      </c>
      <c r="G70" s="11" t="s">
        <v>63</v>
      </c>
    </row>
    <row r="71" ht="59" customHeight="1" spans="1:7">
      <c r="A71" s="10" t="s">
        <v>793</v>
      </c>
      <c r="B71" s="10" t="s">
        <v>1372</v>
      </c>
      <c r="C71" s="10" t="s">
        <v>1373</v>
      </c>
      <c r="D71" s="10" t="s">
        <v>1235</v>
      </c>
      <c r="E71" s="10" t="s">
        <v>1236</v>
      </c>
      <c r="F71" s="11" t="s">
        <v>63</v>
      </c>
      <c r="G71" s="11" t="s">
        <v>63</v>
      </c>
    </row>
    <row r="72" ht="59" customHeight="1" spans="1:7">
      <c r="A72" s="10" t="s">
        <v>800</v>
      </c>
      <c r="B72" s="10" t="s">
        <v>1374</v>
      </c>
      <c r="C72" s="10" t="s">
        <v>1375</v>
      </c>
      <c r="D72" s="10" t="s">
        <v>1235</v>
      </c>
      <c r="E72" s="10" t="s">
        <v>1236</v>
      </c>
      <c r="F72" s="11" t="s">
        <v>63</v>
      </c>
      <c r="G72" s="11" t="s">
        <v>63</v>
      </c>
    </row>
    <row r="73" ht="59" customHeight="1" spans="1:7">
      <c r="A73" s="10" t="s">
        <v>813</v>
      </c>
      <c r="B73" s="10" t="s">
        <v>810</v>
      </c>
      <c r="C73" s="10" t="s">
        <v>809</v>
      </c>
      <c r="D73" s="10" t="s">
        <v>1235</v>
      </c>
      <c r="E73" s="10" t="s">
        <v>1236</v>
      </c>
      <c r="F73" s="11" t="s">
        <v>63</v>
      </c>
      <c r="G73" s="11" t="s">
        <v>63</v>
      </c>
    </row>
    <row r="74" ht="59" customHeight="1" spans="1:7">
      <c r="A74" s="10" t="s">
        <v>1376</v>
      </c>
      <c r="B74" s="10" t="s">
        <v>1377</v>
      </c>
      <c r="C74" s="10" t="s">
        <v>1378</v>
      </c>
      <c r="D74" s="10" t="s">
        <v>1235</v>
      </c>
      <c r="E74" s="10" t="s">
        <v>1236</v>
      </c>
      <c r="F74" s="11" t="s">
        <v>63</v>
      </c>
      <c r="G74" s="11" t="s">
        <v>63</v>
      </c>
    </row>
    <row r="75" ht="59" customHeight="1" spans="1:7">
      <c r="A75" s="10" t="s">
        <v>1379</v>
      </c>
      <c r="B75" s="10" t="s">
        <v>757</v>
      </c>
      <c r="C75" s="10" t="s">
        <v>1380</v>
      </c>
      <c r="D75" s="10" t="s">
        <v>1235</v>
      </c>
      <c r="E75" s="10" t="s">
        <v>1236</v>
      </c>
      <c r="F75" s="11" t="s">
        <v>63</v>
      </c>
      <c r="G75" s="11" t="s">
        <v>63</v>
      </c>
    </row>
    <row r="76" ht="59" customHeight="1" spans="1:7">
      <c r="A76" s="10" t="s">
        <v>1381</v>
      </c>
      <c r="B76" s="10" t="s">
        <v>1382</v>
      </c>
      <c r="C76" s="10" t="s">
        <v>823</v>
      </c>
      <c r="D76" s="10" t="s">
        <v>1235</v>
      </c>
      <c r="E76" s="10" t="s">
        <v>1236</v>
      </c>
      <c r="F76" s="11" t="s">
        <v>63</v>
      </c>
      <c r="G76" s="11" t="s">
        <v>63</v>
      </c>
    </row>
    <row r="77" ht="59" customHeight="1" spans="1:7">
      <c r="A77" s="10" t="s">
        <v>1383</v>
      </c>
      <c r="B77" s="10" t="s">
        <v>1384</v>
      </c>
      <c r="C77" s="10" t="s">
        <v>1385</v>
      </c>
      <c r="D77" s="10" t="s">
        <v>1386</v>
      </c>
      <c r="E77" s="10" t="s">
        <v>1236</v>
      </c>
      <c r="F77" s="11" t="s">
        <v>63</v>
      </c>
      <c r="G77" s="11" t="s">
        <v>63</v>
      </c>
    </row>
    <row r="78" ht="59" customHeight="1" spans="1:7">
      <c r="A78" s="10" t="s">
        <v>1387</v>
      </c>
      <c r="B78" s="10" t="s">
        <v>1388</v>
      </c>
      <c r="C78" s="10" t="s">
        <v>1389</v>
      </c>
      <c r="D78" s="10" t="s">
        <v>1235</v>
      </c>
      <c r="E78" s="10" t="s">
        <v>1236</v>
      </c>
      <c r="F78" s="11" t="s">
        <v>63</v>
      </c>
      <c r="G78" s="11" t="s">
        <v>63</v>
      </c>
    </row>
    <row r="79" ht="59" customHeight="1" spans="1:7">
      <c r="A79" s="10" t="s">
        <v>1390</v>
      </c>
      <c r="B79" s="10" t="s">
        <v>1391</v>
      </c>
      <c r="C79" s="10" t="s">
        <v>958</v>
      </c>
      <c r="D79" s="10" t="s">
        <v>1235</v>
      </c>
      <c r="E79" s="10" t="s">
        <v>1236</v>
      </c>
      <c r="F79" s="11" t="s">
        <v>63</v>
      </c>
      <c r="G79" s="11" t="s">
        <v>63</v>
      </c>
    </row>
    <row r="80" ht="59" customHeight="1" spans="1:7">
      <c r="A80" s="10" t="s">
        <v>950</v>
      </c>
      <c r="B80" s="10" t="s">
        <v>1392</v>
      </c>
      <c r="C80" s="10" t="s">
        <v>945</v>
      </c>
      <c r="D80" s="10" t="s">
        <v>1235</v>
      </c>
      <c r="E80" s="10" t="s">
        <v>1236</v>
      </c>
      <c r="F80" s="11" t="s">
        <v>63</v>
      </c>
      <c r="G80" s="11" t="s">
        <v>63</v>
      </c>
    </row>
    <row r="81" ht="59" customHeight="1" spans="1:7">
      <c r="A81" s="10" t="s">
        <v>1393</v>
      </c>
      <c r="B81" s="10" t="s">
        <v>1394</v>
      </c>
      <c r="C81" s="10" t="s">
        <v>971</v>
      </c>
      <c r="D81" s="10" t="s">
        <v>1235</v>
      </c>
      <c r="E81" s="10" t="s">
        <v>1236</v>
      </c>
      <c r="F81" s="11" t="s">
        <v>63</v>
      </c>
      <c r="G81" s="11" t="s">
        <v>63</v>
      </c>
    </row>
    <row r="82" ht="59" customHeight="1" spans="1:7">
      <c r="A82" s="10" t="s">
        <v>1395</v>
      </c>
      <c r="B82" s="10" t="s">
        <v>1396</v>
      </c>
      <c r="C82" s="10" t="s">
        <v>971</v>
      </c>
      <c r="D82" s="10" t="s">
        <v>1235</v>
      </c>
      <c r="E82" s="10" t="s">
        <v>1236</v>
      </c>
      <c r="F82" s="11" t="s">
        <v>63</v>
      </c>
      <c r="G82" s="11" t="s">
        <v>63</v>
      </c>
    </row>
    <row r="83" ht="59" customHeight="1" spans="1:7">
      <c r="A83" s="10" t="s">
        <v>1397</v>
      </c>
      <c r="B83" s="10" t="s">
        <v>1398</v>
      </c>
      <c r="C83" s="10" t="s">
        <v>1399</v>
      </c>
      <c r="D83" s="10" t="s">
        <v>1235</v>
      </c>
      <c r="E83" s="10" t="s">
        <v>1236</v>
      </c>
      <c r="F83" s="11" t="s">
        <v>63</v>
      </c>
      <c r="G83" s="11" t="s">
        <v>63</v>
      </c>
    </row>
    <row r="84" ht="59" customHeight="1" spans="1:7">
      <c r="A84" s="10" t="s">
        <v>1400</v>
      </c>
      <c r="B84" s="10" t="s">
        <v>1401</v>
      </c>
      <c r="C84" s="10" t="s">
        <v>1402</v>
      </c>
      <c r="D84" s="10" t="s">
        <v>1235</v>
      </c>
      <c r="E84" s="10" t="s">
        <v>1236</v>
      </c>
      <c r="F84" s="11" t="s">
        <v>63</v>
      </c>
      <c r="G84" s="11" t="s">
        <v>63</v>
      </c>
    </row>
    <row r="85" ht="59" customHeight="1" spans="1:7">
      <c r="A85" s="10" t="s">
        <v>1403</v>
      </c>
      <c r="B85" s="10" t="s">
        <v>1404</v>
      </c>
      <c r="C85" s="10" t="s">
        <v>958</v>
      </c>
      <c r="D85" s="10" t="s">
        <v>1235</v>
      </c>
      <c r="E85" s="10" t="s">
        <v>1236</v>
      </c>
      <c r="F85" s="11" t="s">
        <v>63</v>
      </c>
      <c r="G85" s="11" t="s">
        <v>63</v>
      </c>
    </row>
    <row r="86" ht="59" customHeight="1" spans="1:7">
      <c r="A86" s="10" t="s">
        <v>1405</v>
      </c>
      <c r="B86" s="10" t="s">
        <v>965</v>
      </c>
      <c r="C86" s="10" t="s">
        <v>964</v>
      </c>
      <c r="D86" s="10" t="s">
        <v>1235</v>
      </c>
      <c r="E86" s="10" t="s">
        <v>1236</v>
      </c>
      <c r="F86" s="11" t="s">
        <v>63</v>
      </c>
      <c r="G86" s="11" t="s">
        <v>63</v>
      </c>
    </row>
    <row r="87" ht="59" customHeight="1" spans="1:7">
      <c r="A87" s="10" t="s">
        <v>1406</v>
      </c>
      <c r="B87" s="10" t="s">
        <v>1407</v>
      </c>
      <c r="C87" s="10" t="s">
        <v>1408</v>
      </c>
      <c r="D87" s="10" t="s">
        <v>1235</v>
      </c>
      <c r="E87" s="10" t="s">
        <v>1236</v>
      </c>
      <c r="F87" s="11" t="s">
        <v>63</v>
      </c>
      <c r="G87" s="11" t="s">
        <v>63</v>
      </c>
    </row>
    <row r="88" ht="59" customHeight="1" spans="1:7">
      <c r="A88" s="10" t="s">
        <v>1409</v>
      </c>
      <c r="B88" s="10" t="s">
        <v>1410</v>
      </c>
      <c r="C88" s="10" t="s">
        <v>1116</v>
      </c>
      <c r="D88" s="10" t="s">
        <v>1235</v>
      </c>
      <c r="E88" s="10" t="s">
        <v>1236</v>
      </c>
      <c r="F88" s="11" t="s">
        <v>63</v>
      </c>
      <c r="G88" s="11" t="s">
        <v>63</v>
      </c>
    </row>
    <row r="89" ht="59" customHeight="1" spans="1:7">
      <c r="A89" s="10" t="s">
        <v>1411</v>
      </c>
      <c r="B89" s="10" t="s">
        <v>1412</v>
      </c>
      <c r="C89" s="10" t="s">
        <v>888</v>
      </c>
      <c r="D89" s="10" t="s">
        <v>1235</v>
      </c>
      <c r="E89" s="10" t="s">
        <v>1236</v>
      </c>
      <c r="F89" s="11" t="s">
        <v>63</v>
      </c>
      <c r="G89" s="11" t="s">
        <v>63</v>
      </c>
    </row>
    <row r="90" ht="59" customHeight="1" spans="1:7">
      <c r="A90" s="10" t="s">
        <v>1413</v>
      </c>
      <c r="B90" s="10" t="s">
        <v>1414</v>
      </c>
      <c r="C90" s="10" t="s">
        <v>984</v>
      </c>
      <c r="D90" s="10" t="s">
        <v>1235</v>
      </c>
      <c r="E90" s="10" t="s">
        <v>1236</v>
      </c>
      <c r="F90" s="11" t="s">
        <v>63</v>
      </c>
      <c r="G90" s="11" t="s">
        <v>63</v>
      </c>
    </row>
    <row r="91" ht="59" customHeight="1" spans="1:7">
      <c r="A91" s="10" t="s">
        <v>996</v>
      </c>
      <c r="B91" s="10" t="s">
        <v>1415</v>
      </c>
      <c r="C91" s="10" t="s">
        <v>991</v>
      </c>
      <c r="D91" s="10" t="s">
        <v>1235</v>
      </c>
      <c r="E91" s="10" t="s">
        <v>1236</v>
      </c>
      <c r="F91" s="11" t="s">
        <v>63</v>
      </c>
      <c r="G91" s="11" t="s">
        <v>63</v>
      </c>
    </row>
    <row r="92" ht="59" customHeight="1" spans="1:7">
      <c r="A92" s="10" t="s">
        <v>1416</v>
      </c>
      <c r="B92" s="10" t="s">
        <v>1417</v>
      </c>
      <c r="C92" s="10" t="s">
        <v>1418</v>
      </c>
      <c r="D92" s="10" t="s">
        <v>1235</v>
      </c>
      <c r="E92" s="10" t="s">
        <v>1236</v>
      </c>
      <c r="F92" s="11" t="s">
        <v>63</v>
      </c>
      <c r="G92" s="11" t="s">
        <v>63</v>
      </c>
    </row>
    <row r="93" ht="59" customHeight="1" spans="1:7">
      <c r="A93" s="10" t="s">
        <v>1003</v>
      </c>
      <c r="B93" s="10" t="s">
        <v>1419</v>
      </c>
      <c r="C93" s="10" t="s">
        <v>998</v>
      </c>
      <c r="D93" s="10" t="s">
        <v>1235</v>
      </c>
      <c r="E93" s="10" t="s">
        <v>1236</v>
      </c>
      <c r="F93" s="11" t="s">
        <v>63</v>
      </c>
      <c r="G93" s="11" t="s">
        <v>63</v>
      </c>
    </row>
    <row r="94" ht="59" customHeight="1" spans="1:7">
      <c r="A94" s="10" t="s">
        <v>983</v>
      </c>
      <c r="B94" s="10" t="s">
        <v>1420</v>
      </c>
      <c r="C94" s="10" t="s">
        <v>978</v>
      </c>
      <c r="D94" s="10" t="s">
        <v>1235</v>
      </c>
      <c r="E94" s="10" t="s">
        <v>1236</v>
      </c>
      <c r="F94" s="11" t="s">
        <v>63</v>
      </c>
      <c r="G94" s="11" t="s">
        <v>63</v>
      </c>
    </row>
    <row r="95" ht="59" customHeight="1" spans="1:7">
      <c r="A95" s="10" t="s">
        <v>1421</v>
      </c>
      <c r="B95" s="10" t="s">
        <v>1422</v>
      </c>
      <c r="C95" s="10" t="s">
        <v>1423</v>
      </c>
      <c r="D95" s="10" t="s">
        <v>1235</v>
      </c>
      <c r="E95" s="10" t="s">
        <v>1236</v>
      </c>
      <c r="F95" s="11" t="s">
        <v>63</v>
      </c>
      <c r="G95" s="11" t="s">
        <v>63</v>
      </c>
    </row>
    <row r="96" ht="59" customHeight="1" spans="1:7">
      <c r="A96" s="10" t="s">
        <v>1424</v>
      </c>
      <c r="B96" s="10" t="s">
        <v>1425</v>
      </c>
      <c r="C96" s="10" t="s">
        <v>1011</v>
      </c>
      <c r="D96" s="10" t="s">
        <v>1235</v>
      </c>
      <c r="E96" s="10" t="s">
        <v>1236</v>
      </c>
      <c r="F96" s="11" t="s">
        <v>63</v>
      </c>
      <c r="G96" s="11" t="s">
        <v>63</v>
      </c>
    </row>
    <row r="97" ht="59" customHeight="1" spans="1:7">
      <c r="A97" s="10" t="s">
        <v>1426</v>
      </c>
      <c r="B97" s="10" t="s">
        <v>1427</v>
      </c>
      <c r="C97" s="10" t="s">
        <v>1062</v>
      </c>
      <c r="D97" s="10" t="s">
        <v>1428</v>
      </c>
      <c r="E97" s="10" t="s">
        <v>1236</v>
      </c>
      <c r="F97" s="11" t="s">
        <v>63</v>
      </c>
      <c r="G97" s="11" t="s">
        <v>63</v>
      </c>
    </row>
    <row r="98" ht="59" customHeight="1" spans="1:7">
      <c r="A98" s="10" t="s">
        <v>1429</v>
      </c>
      <c r="B98" s="10" t="s">
        <v>1430</v>
      </c>
      <c r="C98" s="10" t="s">
        <v>1062</v>
      </c>
      <c r="D98" s="10" t="s">
        <v>1428</v>
      </c>
      <c r="E98" s="10" t="s">
        <v>1236</v>
      </c>
      <c r="F98" s="11" t="s">
        <v>63</v>
      </c>
      <c r="G98" s="11" t="s">
        <v>63</v>
      </c>
    </row>
    <row r="99" ht="59" customHeight="1" spans="1:7">
      <c r="A99" s="10" t="s">
        <v>1431</v>
      </c>
      <c r="B99" s="10" t="s">
        <v>1432</v>
      </c>
      <c r="C99" s="10" t="s">
        <v>1062</v>
      </c>
      <c r="D99" s="10" t="s">
        <v>1428</v>
      </c>
      <c r="E99" s="10" t="s">
        <v>1236</v>
      </c>
      <c r="F99" s="11" t="s">
        <v>63</v>
      </c>
      <c r="G99" s="11" t="s">
        <v>63</v>
      </c>
    </row>
    <row r="100" ht="59" customHeight="1" spans="1:7">
      <c r="A100" s="10" t="s">
        <v>1433</v>
      </c>
      <c r="B100" s="10" t="s">
        <v>1434</v>
      </c>
      <c r="C100" s="10" t="s">
        <v>1062</v>
      </c>
      <c r="D100" s="10" t="s">
        <v>1428</v>
      </c>
      <c r="E100" s="10" t="s">
        <v>1236</v>
      </c>
      <c r="F100" s="11" t="s">
        <v>63</v>
      </c>
      <c r="G100" s="11" t="s">
        <v>63</v>
      </c>
    </row>
    <row r="101" ht="59" customHeight="1" spans="1:7">
      <c r="A101" s="10" t="s">
        <v>1435</v>
      </c>
      <c r="B101" s="10" t="s">
        <v>1436</v>
      </c>
      <c r="C101" s="10" t="s">
        <v>1437</v>
      </c>
      <c r="D101" s="10" t="s">
        <v>1428</v>
      </c>
      <c r="E101" s="10" t="s">
        <v>1236</v>
      </c>
      <c r="F101" s="11" t="s">
        <v>63</v>
      </c>
      <c r="G101" s="11" t="s">
        <v>63</v>
      </c>
    </row>
    <row r="102" ht="59" customHeight="1" spans="1:7">
      <c r="A102" s="10" t="s">
        <v>1438</v>
      </c>
      <c r="B102" s="10" t="s">
        <v>1439</v>
      </c>
      <c r="C102" s="10" t="s">
        <v>1068</v>
      </c>
      <c r="D102" s="10" t="s">
        <v>1428</v>
      </c>
      <c r="E102" s="10" t="s">
        <v>1236</v>
      </c>
      <c r="F102" s="11" t="s">
        <v>63</v>
      </c>
      <c r="G102" s="11" t="s">
        <v>63</v>
      </c>
    </row>
    <row r="103" ht="59" customHeight="1" spans="1:7">
      <c r="A103" s="10" t="s">
        <v>1440</v>
      </c>
      <c r="B103" s="10" t="s">
        <v>1441</v>
      </c>
      <c r="C103" s="10" t="s">
        <v>1068</v>
      </c>
      <c r="D103" s="10" t="s">
        <v>1428</v>
      </c>
      <c r="E103" s="10" t="s">
        <v>1236</v>
      </c>
      <c r="F103" s="11" t="s">
        <v>63</v>
      </c>
      <c r="G103" s="11" t="s">
        <v>63</v>
      </c>
    </row>
    <row r="104" ht="59" customHeight="1" spans="1:7">
      <c r="A104" s="10" t="s">
        <v>1442</v>
      </c>
      <c r="B104" s="10" t="s">
        <v>1443</v>
      </c>
      <c r="C104" s="10" t="s">
        <v>1075</v>
      </c>
      <c r="D104" s="10" t="s">
        <v>1428</v>
      </c>
      <c r="E104" s="10" t="s">
        <v>1236</v>
      </c>
      <c r="F104" s="11" t="s">
        <v>63</v>
      </c>
      <c r="G104" s="11" t="s">
        <v>63</v>
      </c>
    </row>
    <row r="105" ht="59" customHeight="1" spans="1:7">
      <c r="A105" s="10" t="s">
        <v>1444</v>
      </c>
      <c r="B105" s="10" t="s">
        <v>1445</v>
      </c>
      <c r="C105" s="10" t="s">
        <v>1446</v>
      </c>
      <c r="D105" s="10" t="s">
        <v>1428</v>
      </c>
      <c r="E105" s="10" t="s">
        <v>1236</v>
      </c>
      <c r="F105" s="11" t="s">
        <v>63</v>
      </c>
      <c r="G105" s="11" t="s">
        <v>63</v>
      </c>
    </row>
    <row r="106" ht="59" customHeight="1" spans="1:7">
      <c r="A106" s="10" t="s">
        <v>1447</v>
      </c>
      <c r="B106" s="10" t="s">
        <v>1448</v>
      </c>
      <c r="C106" s="10" t="s">
        <v>1082</v>
      </c>
      <c r="D106" s="10" t="s">
        <v>1428</v>
      </c>
      <c r="E106" s="10" t="s">
        <v>1236</v>
      </c>
      <c r="F106" s="11" t="s">
        <v>63</v>
      </c>
      <c r="G106" s="11" t="s">
        <v>63</v>
      </c>
    </row>
    <row r="107" ht="59" customHeight="1" spans="1:7">
      <c r="A107" s="10" t="s">
        <v>1449</v>
      </c>
      <c r="B107" s="10" t="s">
        <v>1450</v>
      </c>
      <c r="C107" s="10" t="s">
        <v>1082</v>
      </c>
      <c r="D107" s="10" t="s">
        <v>1428</v>
      </c>
      <c r="E107" s="10" t="s">
        <v>1236</v>
      </c>
      <c r="F107" s="11" t="s">
        <v>63</v>
      </c>
      <c r="G107" s="11" t="s">
        <v>63</v>
      </c>
    </row>
    <row r="108" ht="59" customHeight="1" spans="1:7">
      <c r="A108" s="10" t="s">
        <v>1451</v>
      </c>
      <c r="B108" s="10" t="s">
        <v>1452</v>
      </c>
      <c r="C108" s="10" t="s">
        <v>1088</v>
      </c>
      <c r="D108" s="10" t="s">
        <v>1428</v>
      </c>
      <c r="E108" s="10" t="s">
        <v>1236</v>
      </c>
      <c r="F108" s="11" t="s">
        <v>63</v>
      </c>
      <c r="G108" s="11" t="s">
        <v>63</v>
      </c>
    </row>
    <row r="109" ht="59" customHeight="1" spans="1:7">
      <c r="A109" s="10" t="s">
        <v>1453</v>
      </c>
      <c r="B109" s="10" t="s">
        <v>1454</v>
      </c>
      <c r="C109" s="10" t="s">
        <v>1088</v>
      </c>
      <c r="D109" s="10" t="s">
        <v>1428</v>
      </c>
      <c r="E109" s="10" t="s">
        <v>1236</v>
      </c>
      <c r="F109" s="11" t="s">
        <v>63</v>
      </c>
      <c r="G109" s="11" t="s">
        <v>63</v>
      </c>
    </row>
    <row r="110" ht="59" customHeight="1" spans="1:7">
      <c r="A110" s="10" t="s">
        <v>1455</v>
      </c>
      <c r="B110" s="10" t="s">
        <v>1456</v>
      </c>
      <c r="C110" s="10" t="s">
        <v>1095</v>
      </c>
      <c r="D110" s="10" t="s">
        <v>1428</v>
      </c>
      <c r="E110" s="10" t="s">
        <v>1236</v>
      </c>
      <c r="F110" s="11" t="s">
        <v>63</v>
      </c>
      <c r="G110" s="11" t="s">
        <v>63</v>
      </c>
    </row>
    <row r="111" ht="59" customHeight="1" spans="1:7">
      <c r="A111" s="10" t="s">
        <v>1457</v>
      </c>
      <c r="B111" s="10" t="s">
        <v>1458</v>
      </c>
      <c r="C111" s="10" t="s">
        <v>1095</v>
      </c>
      <c r="D111" s="10" t="s">
        <v>1428</v>
      </c>
      <c r="E111" s="10" t="s">
        <v>1236</v>
      </c>
      <c r="F111" s="11" t="s">
        <v>63</v>
      </c>
      <c r="G111" s="11" t="s">
        <v>63</v>
      </c>
    </row>
    <row r="112" ht="59" customHeight="1" spans="1:7">
      <c r="A112" s="10" t="s">
        <v>1459</v>
      </c>
      <c r="B112" s="10" t="s">
        <v>1460</v>
      </c>
      <c r="C112" s="10" t="s">
        <v>1102</v>
      </c>
      <c r="D112" s="10" t="s">
        <v>1428</v>
      </c>
      <c r="E112" s="10" t="s">
        <v>1236</v>
      </c>
      <c r="F112" s="11" t="s">
        <v>63</v>
      </c>
      <c r="G112" s="11" t="s">
        <v>63</v>
      </c>
    </row>
    <row r="113" ht="59" customHeight="1" spans="1:7">
      <c r="A113" s="10" t="s">
        <v>1461</v>
      </c>
      <c r="B113" s="10" t="s">
        <v>1462</v>
      </c>
      <c r="C113" s="10" t="s">
        <v>1463</v>
      </c>
      <c r="D113" s="10" t="s">
        <v>1428</v>
      </c>
      <c r="E113" s="10" t="s">
        <v>1236</v>
      </c>
      <c r="F113" s="11" t="s">
        <v>63</v>
      </c>
      <c r="G113" s="11" t="s">
        <v>63</v>
      </c>
    </row>
    <row r="114" ht="59" customHeight="1" spans="1:7">
      <c r="A114" s="10" t="s">
        <v>1464</v>
      </c>
      <c r="B114" s="10" t="s">
        <v>1465</v>
      </c>
      <c r="C114" s="10" t="s">
        <v>1109</v>
      </c>
      <c r="D114" s="10" t="s">
        <v>1428</v>
      </c>
      <c r="E114" s="10" t="s">
        <v>1236</v>
      </c>
      <c r="F114" s="11" t="s">
        <v>63</v>
      </c>
      <c r="G114" s="11" t="s">
        <v>63</v>
      </c>
    </row>
    <row r="115" ht="59" customHeight="1" spans="1:7">
      <c r="A115" s="10" t="s">
        <v>1466</v>
      </c>
      <c r="B115" s="10" t="s">
        <v>1467</v>
      </c>
      <c r="C115" s="10" t="s">
        <v>1109</v>
      </c>
      <c r="D115" s="10" t="s">
        <v>1428</v>
      </c>
      <c r="E115" s="10" t="s">
        <v>1236</v>
      </c>
      <c r="F115" s="11" t="s">
        <v>63</v>
      </c>
      <c r="G115" s="11" t="s">
        <v>63</v>
      </c>
    </row>
    <row r="116" ht="59" customHeight="1" spans="1:7">
      <c r="A116" s="10" t="s">
        <v>1028</v>
      </c>
      <c r="B116" s="10" t="s">
        <v>1468</v>
      </c>
      <c r="C116" s="10" t="s">
        <v>1023</v>
      </c>
      <c r="D116" s="10" t="s">
        <v>1235</v>
      </c>
      <c r="E116" s="10" t="s">
        <v>1236</v>
      </c>
      <c r="F116" s="11" t="s">
        <v>63</v>
      </c>
      <c r="G116" s="11" t="s">
        <v>63</v>
      </c>
    </row>
    <row r="117" ht="59" customHeight="1" spans="1:7">
      <c r="A117" s="10" t="s">
        <v>1469</v>
      </c>
      <c r="B117" s="10" t="s">
        <v>1470</v>
      </c>
      <c r="C117" s="10" t="s">
        <v>1030</v>
      </c>
      <c r="D117" s="10" t="s">
        <v>1235</v>
      </c>
      <c r="E117" s="10" t="s">
        <v>1236</v>
      </c>
      <c r="F117" s="11" t="s">
        <v>63</v>
      </c>
      <c r="G117" s="11" t="s">
        <v>63</v>
      </c>
    </row>
    <row r="118" ht="59" customHeight="1" spans="1:7">
      <c r="A118" s="10" t="s">
        <v>1471</v>
      </c>
      <c r="B118" s="10" t="s">
        <v>1472</v>
      </c>
      <c r="C118" s="10" t="s">
        <v>1037</v>
      </c>
      <c r="D118" s="10" t="s">
        <v>1235</v>
      </c>
      <c r="E118" s="10" t="s">
        <v>1236</v>
      </c>
      <c r="F118" s="11" t="s">
        <v>63</v>
      </c>
      <c r="G118" s="11" t="s">
        <v>63</v>
      </c>
    </row>
    <row r="119" ht="59" customHeight="1" spans="1:7">
      <c r="A119" s="10" t="s">
        <v>1473</v>
      </c>
      <c r="B119" s="10" t="s">
        <v>1474</v>
      </c>
      <c r="C119" s="10" t="s">
        <v>1475</v>
      </c>
      <c r="D119" s="10" t="s">
        <v>1235</v>
      </c>
      <c r="E119" s="10" t="s">
        <v>1236</v>
      </c>
      <c r="F119" s="11" t="s">
        <v>63</v>
      </c>
      <c r="G119" s="11" t="s">
        <v>63</v>
      </c>
    </row>
    <row r="120" ht="59" customHeight="1" spans="1:7">
      <c r="A120" s="10" t="s">
        <v>1476</v>
      </c>
      <c r="B120" s="10" t="s">
        <v>1477</v>
      </c>
      <c r="C120" s="10" t="s">
        <v>1043</v>
      </c>
      <c r="D120" s="10" t="s">
        <v>1235</v>
      </c>
      <c r="E120" s="10" t="s">
        <v>1236</v>
      </c>
      <c r="F120" s="11" t="s">
        <v>63</v>
      </c>
      <c r="G120" s="11" t="s">
        <v>63</v>
      </c>
    </row>
    <row r="121" ht="59" customHeight="1" spans="1:7">
      <c r="A121" s="10" t="s">
        <v>1055</v>
      </c>
      <c r="B121" s="10" t="s">
        <v>1478</v>
      </c>
      <c r="C121" s="10" t="s">
        <v>1050</v>
      </c>
      <c r="D121" s="10" t="s">
        <v>1235</v>
      </c>
      <c r="E121" s="10" t="s">
        <v>1236</v>
      </c>
      <c r="F121" s="11" t="s">
        <v>63</v>
      </c>
      <c r="G121" s="11" t="s">
        <v>63</v>
      </c>
    </row>
    <row r="122" ht="59" customHeight="1" spans="1:7">
      <c r="A122" s="10" t="s">
        <v>1479</v>
      </c>
      <c r="B122" s="10" t="s">
        <v>1480</v>
      </c>
      <c r="C122" s="10" t="s">
        <v>1056</v>
      </c>
      <c r="D122" s="10" t="s">
        <v>1235</v>
      </c>
      <c r="E122" s="10" t="s">
        <v>1236</v>
      </c>
      <c r="F122" s="11" t="s">
        <v>63</v>
      </c>
      <c r="G122" s="11" t="s">
        <v>63</v>
      </c>
    </row>
  </sheetData>
  <mergeCells count="3">
    <mergeCell ref="A1:G1"/>
    <mergeCell ref="A2:G2"/>
    <mergeCell ref="A3:G3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8"/>
  <sheetViews>
    <sheetView workbookViewId="0">
      <selection activeCell="A1" sqref="A1:AD1"/>
    </sheetView>
  </sheetViews>
  <sheetFormatPr defaultColWidth="9" defaultRowHeight="16.8"/>
  <cols>
    <col min="1" max="1" width="23" customWidth="1"/>
    <col min="2" max="2" width="8" customWidth="1"/>
    <col min="3" max="4" width="10" customWidth="1"/>
    <col min="5" max="5" width="37" customWidth="1"/>
    <col min="6" max="6" width="40" customWidth="1"/>
    <col min="7" max="30" width="4.60294117647059" customWidth="1"/>
  </cols>
  <sheetData>
    <row r="1" ht="40" customHeight="1" spans="1:30">
      <c r="A1" s="1" t="s">
        <v>1481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8" customHeight="1" spans="1:30">
      <c r="A2" s="2" t="s">
        <v>1482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28" customHeight="1" spans="1:30">
      <c r="A3" s="2" t="s">
        <v>1483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8" customHeight="1" spans="1:30">
      <c r="A5" s="4" t="s">
        <v>1484</v>
      </c>
      <c r="B5" s="4" t="s">
        <v>1485</v>
      </c>
      <c r="C5" s="4" t="s">
        <v>1486</v>
      </c>
      <c r="D5" s="4" t="s">
        <v>1487</v>
      </c>
      <c r="E5" s="4" t="s">
        <v>1488</v>
      </c>
      <c r="F5" s="4" t="s">
        <v>1489</v>
      </c>
      <c r="G5" s="4">
        <v>1</v>
      </c>
      <c r="H5" s="4">
        <v>2</v>
      </c>
      <c r="I5" s="4">
        <v>3</v>
      </c>
      <c r="J5" s="4">
        <v>4</v>
      </c>
      <c r="K5" s="4">
        <v>5</v>
      </c>
      <c r="L5" s="4">
        <v>6</v>
      </c>
      <c r="M5" s="4">
        <v>7</v>
      </c>
      <c r="N5" s="4">
        <v>8</v>
      </c>
      <c r="O5" s="4">
        <v>9</v>
      </c>
      <c r="P5" s="4">
        <v>10</v>
      </c>
      <c r="Q5" s="4">
        <v>11</v>
      </c>
      <c r="R5" s="4">
        <v>12</v>
      </c>
      <c r="S5" s="4">
        <v>13</v>
      </c>
      <c r="T5" s="4">
        <v>14</v>
      </c>
      <c r="U5" s="4">
        <v>15</v>
      </c>
      <c r="V5" s="4">
        <v>16</v>
      </c>
      <c r="W5" s="4">
        <v>17</v>
      </c>
      <c r="X5" s="4">
        <v>18</v>
      </c>
      <c r="Y5" s="4">
        <v>19</v>
      </c>
      <c r="Z5" s="4">
        <v>20</v>
      </c>
      <c r="AA5" s="4">
        <v>21</v>
      </c>
      <c r="AB5" s="4">
        <v>22</v>
      </c>
      <c r="AC5" s="4">
        <v>23</v>
      </c>
      <c r="AD5" s="4">
        <v>24</v>
      </c>
    </row>
    <row r="6" ht="90" customHeight="1" spans="1:30">
      <c r="A6" s="5" t="s">
        <v>1490</v>
      </c>
      <c r="B6" s="5">
        <v>2</v>
      </c>
      <c r="C6" s="5">
        <v>1</v>
      </c>
      <c r="D6" s="5">
        <f>C6+B6-1</f>
        <v>2</v>
      </c>
      <c r="E6" s="5" t="s">
        <v>1491</v>
      </c>
      <c r="F6" s="5" t="s">
        <v>1492</v>
      </c>
      <c r="G6" s="6">
        <f t="shared" ref="G6:AD6" si="0">IF(AND(G$5&gt;=$C6,G$5&lt;=$D6),1,"")</f>
        <v>1</v>
      </c>
      <c r="H6" s="6">
        <f t="shared" si="0"/>
        <v>1</v>
      </c>
      <c r="I6" s="6" t="str">
        <f t="shared" si="0"/>
        <v/>
      </c>
      <c r="J6" s="6" t="str">
        <f t="shared" si="0"/>
        <v/>
      </c>
      <c r="K6" s="6" t="str">
        <f t="shared" si="0"/>
        <v/>
      </c>
      <c r="L6" s="6" t="str">
        <f t="shared" si="0"/>
        <v/>
      </c>
      <c r="M6" s="6" t="str">
        <f t="shared" si="0"/>
        <v/>
      </c>
      <c r="N6" s="6" t="str">
        <f t="shared" si="0"/>
        <v/>
      </c>
      <c r="O6" s="6" t="str">
        <f t="shared" si="0"/>
        <v/>
      </c>
      <c r="P6" s="6" t="str">
        <f t="shared" si="0"/>
        <v/>
      </c>
      <c r="Q6" s="6" t="str">
        <f t="shared" si="0"/>
        <v/>
      </c>
      <c r="R6" s="6" t="str">
        <f t="shared" si="0"/>
        <v/>
      </c>
      <c r="S6" s="6" t="str">
        <f t="shared" si="0"/>
        <v/>
      </c>
      <c r="T6" s="6" t="str">
        <f t="shared" si="0"/>
        <v/>
      </c>
      <c r="U6" s="6" t="str">
        <f t="shared" si="0"/>
        <v/>
      </c>
      <c r="V6" s="6" t="str">
        <f t="shared" si="0"/>
        <v/>
      </c>
      <c r="W6" s="6" t="str">
        <f t="shared" si="0"/>
        <v/>
      </c>
      <c r="X6" s="6" t="str">
        <f t="shared" si="0"/>
        <v/>
      </c>
      <c r="Y6" s="6" t="str">
        <f t="shared" si="0"/>
        <v/>
      </c>
      <c r="Z6" s="6" t="str">
        <f t="shared" si="0"/>
        <v/>
      </c>
      <c r="AA6" s="6" t="str">
        <f t="shared" si="0"/>
        <v/>
      </c>
      <c r="AB6" s="6" t="str">
        <f t="shared" si="0"/>
        <v/>
      </c>
      <c r="AC6" s="6" t="str">
        <f t="shared" si="0"/>
        <v/>
      </c>
      <c r="AD6" s="6" t="str">
        <f t="shared" si="0"/>
        <v/>
      </c>
    </row>
    <row r="7" ht="90" customHeight="1" spans="1:30">
      <c r="A7" s="5" t="s">
        <v>1493</v>
      </c>
      <c r="B7" s="5">
        <v>10</v>
      </c>
      <c r="C7" s="5">
        <f>D6+1</f>
        <v>3</v>
      </c>
      <c r="D7" s="5">
        <f>C7+B7-1</f>
        <v>12</v>
      </c>
      <c r="E7" s="5" t="s">
        <v>1494</v>
      </c>
      <c r="F7" s="5" t="s">
        <v>1495</v>
      </c>
      <c r="G7" s="6" t="str">
        <f t="shared" ref="G7:AD7" si="1">IF(AND(G$5&gt;=$C7,G$5&lt;=$D7),1,"")</f>
        <v/>
      </c>
      <c r="H7" s="6" t="str">
        <f t="shared" si="1"/>
        <v/>
      </c>
      <c r="I7" s="6">
        <f t="shared" si="1"/>
        <v>1</v>
      </c>
      <c r="J7" s="6">
        <f t="shared" si="1"/>
        <v>1</v>
      </c>
      <c r="K7" s="6">
        <f t="shared" si="1"/>
        <v>1</v>
      </c>
      <c r="L7" s="6">
        <f t="shared" si="1"/>
        <v>1</v>
      </c>
      <c r="M7" s="6">
        <f t="shared" si="1"/>
        <v>1</v>
      </c>
      <c r="N7" s="6">
        <f t="shared" si="1"/>
        <v>1</v>
      </c>
      <c r="O7" s="6">
        <f t="shared" si="1"/>
        <v>1</v>
      </c>
      <c r="P7" s="6">
        <f t="shared" si="1"/>
        <v>1</v>
      </c>
      <c r="Q7" s="6">
        <f t="shared" si="1"/>
        <v>1</v>
      </c>
      <c r="R7" s="6">
        <f t="shared" si="1"/>
        <v>1</v>
      </c>
      <c r="S7" s="6" t="str">
        <f t="shared" si="1"/>
        <v/>
      </c>
      <c r="T7" s="6" t="str">
        <f t="shared" si="1"/>
        <v/>
      </c>
      <c r="U7" s="6" t="str">
        <f t="shared" si="1"/>
        <v/>
      </c>
      <c r="V7" s="6" t="str">
        <f t="shared" si="1"/>
        <v/>
      </c>
      <c r="W7" s="6" t="str">
        <f t="shared" si="1"/>
        <v/>
      </c>
      <c r="X7" s="6" t="str">
        <f t="shared" si="1"/>
        <v/>
      </c>
      <c r="Y7" s="6" t="str">
        <f t="shared" si="1"/>
        <v/>
      </c>
      <c r="Z7" s="6" t="str">
        <f t="shared" si="1"/>
        <v/>
      </c>
      <c r="AA7" s="6" t="str">
        <f t="shared" si="1"/>
        <v/>
      </c>
      <c r="AB7" s="6" t="str">
        <f t="shared" si="1"/>
        <v/>
      </c>
      <c r="AC7" s="6" t="str">
        <f t="shared" si="1"/>
        <v/>
      </c>
      <c r="AD7" s="6" t="str">
        <f t="shared" si="1"/>
        <v/>
      </c>
    </row>
    <row r="8" ht="90" customHeight="1" spans="1:30">
      <c r="A8" s="5" t="s">
        <v>1496</v>
      </c>
      <c r="B8" s="5">
        <v>3</v>
      </c>
      <c r="C8" s="5">
        <f>D7+1</f>
        <v>13</v>
      </c>
      <c r="D8" s="5">
        <f>C8+B8-1</f>
        <v>15</v>
      </c>
      <c r="E8" s="5" t="s">
        <v>1497</v>
      </c>
      <c r="F8" s="5" t="s">
        <v>1498</v>
      </c>
      <c r="G8" s="6" t="str">
        <f t="shared" ref="G8:AD8" si="2">IF(AND(G$5&gt;=$C8,G$5&lt;=$D8),1,"")</f>
        <v/>
      </c>
      <c r="H8" s="6" t="str">
        <f t="shared" si="2"/>
        <v/>
      </c>
      <c r="I8" s="6" t="str">
        <f t="shared" si="2"/>
        <v/>
      </c>
      <c r="J8" s="6" t="str">
        <f t="shared" si="2"/>
        <v/>
      </c>
      <c r="K8" s="6" t="str">
        <f t="shared" si="2"/>
        <v/>
      </c>
      <c r="L8" s="6" t="str">
        <f t="shared" si="2"/>
        <v/>
      </c>
      <c r="M8" s="6" t="str">
        <f t="shared" si="2"/>
        <v/>
      </c>
      <c r="N8" s="6" t="str">
        <f t="shared" si="2"/>
        <v/>
      </c>
      <c r="O8" s="6" t="str">
        <f t="shared" si="2"/>
        <v/>
      </c>
      <c r="P8" s="6" t="str">
        <f t="shared" si="2"/>
        <v/>
      </c>
      <c r="Q8" s="6" t="str">
        <f t="shared" si="2"/>
        <v/>
      </c>
      <c r="R8" s="6" t="str">
        <f t="shared" si="2"/>
        <v/>
      </c>
      <c r="S8" s="6">
        <f t="shared" si="2"/>
        <v>1</v>
      </c>
      <c r="T8" s="6">
        <f t="shared" si="2"/>
        <v>1</v>
      </c>
      <c r="U8" s="6">
        <f t="shared" si="2"/>
        <v>1</v>
      </c>
      <c r="V8" s="6" t="str">
        <f t="shared" si="2"/>
        <v/>
      </c>
      <c r="W8" s="6" t="str">
        <f t="shared" si="2"/>
        <v/>
      </c>
      <c r="X8" s="6" t="str">
        <f t="shared" si="2"/>
        <v/>
      </c>
      <c r="Y8" s="6" t="str">
        <f t="shared" si="2"/>
        <v/>
      </c>
      <c r="Z8" s="6" t="str">
        <f t="shared" si="2"/>
        <v/>
      </c>
      <c r="AA8" s="6" t="str">
        <f t="shared" si="2"/>
        <v/>
      </c>
      <c r="AB8" s="6" t="str">
        <f t="shared" si="2"/>
        <v/>
      </c>
      <c r="AC8" s="6" t="str">
        <f t="shared" si="2"/>
        <v/>
      </c>
      <c r="AD8" s="6" t="str">
        <f t="shared" si="2"/>
        <v/>
      </c>
    </row>
    <row r="9" ht="90" customHeight="1" spans="1:30">
      <c r="A9" s="5" t="s">
        <v>1499</v>
      </c>
      <c r="B9" s="5">
        <v>6</v>
      </c>
      <c r="C9" s="5">
        <f>D8+1</f>
        <v>16</v>
      </c>
      <c r="D9" s="5">
        <f>C9+B9-1</f>
        <v>21</v>
      </c>
      <c r="E9" s="5" t="s">
        <v>1500</v>
      </c>
      <c r="F9" s="5" t="s">
        <v>1501</v>
      </c>
      <c r="G9" s="6" t="str">
        <f t="shared" ref="G9:AD9" si="3">IF(AND(G$5&gt;=$C9,G$5&lt;=$D9),1,"")</f>
        <v/>
      </c>
      <c r="H9" s="6" t="str">
        <f t="shared" si="3"/>
        <v/>
      </c>
      <c r="I9" s="6" t="str">
        <f t="shared" si="3"/>
        <v/>
      </c>
      <c r="J9" s="6" t="str">
        <f t="shared" si="3"/>
        <v/>
      </c>
      <c r="K9" s="6" t="str">
        <f t="shared" si="3"/>
        <v/>
      </c>
      <c r="L9" s="6" t="str">
        <f t="shared" si="3"/>
        <v/>
      </c>
      <c r="M9" s="6" t="str">
        <f t="shared" si="3"/>
        <v/>
      </c>
      <c r="N9" s="6" t="str">
        <f t="shared" si="3"/>
        <v/>
      </c>
      <c r="O9" s="6" t="str">
        <f t="shared" si="3"/>
        <v/>
      </c>
      <c r="P9" s="6" t="str">
        <f t="shared" si="3"/>
        <v/>
      </c>
      <c r="Q9" s="6" t="str">
        <f t="shared" si="3"/>
        <v/>
      </c>
      <c r="R9" s="6" t="str">
        <f t="shared" si="3"/>
        <v/>
      </c>
      <c r="S9" s="6" t="str">
        <f t="shared" si="3"/>
        <v/>
      </c>
      <c r="T9" s="6" t="str">
        <f t="shared" si="3"/>
        <v/>
      </c>
      <c r="U9" s="6" t="str">
        <f t="shared" si="3"/>
        <v/>
      </c>
      <c r="V9" s="6">
        <f t="shared" si="3"/>
        <v>1</v>
      </c>
      <c r="W9" s="6">
        <f t="shared" si="3"/>
        <v>1</v>
      </c>
      <c r="X9" s="6">
        <f t="shared" si="3"/>
        <v>1</v>
      </c>
      <c r="Y9" s="6">
        <f t="shared" si="3"/>
        <v>1</v>
      </c>
      <c r="Z9" s="6">
        <f t="shared" si="3"/>
        <v>1</v>
      </c>
      <c r="AA9" s="6">
        <f t="shared" si="3"/>
        <v>1</v>
      </c>
      <c r="AB9" s="6" t="str">
        <f t="shared" si="3"/>
        <v/>
      </c>
      <c r="AC9" s="6" t="str">
        <f t="shared" si="3"/>
        <v/>
      </c>
      <c r="AD9" s="6" t="str">
        <f t="shared" si="3"/>
        <v/>
      </c>
    </row>
    <row r="10" ht="90" customHeight="1" spans="1:30">
      <c r="A10" s="5" t="s">
        <v>1502</v>
      </c>
      <c r="B10" s="5">
        <v>3</v>
      </c>
      <c r="C10" s="5">
        <f>D9+1</f>
        <v>22</v>
      </c>
      <c r="D10" s="5">
        <f>C10+B10-1</f>
        <v>24</v>
      </c>
      <c r="E10" s="5" t="s">
        <v>1503</v>
      </c>
      <c r="F10" s="5" t="s">
        <v>1504</v>
      </c>
      <c r="G10" s="6" t="str">
        <f t="shared" ref="G10:AD10" si="4">IF(AND(G$5&gt;=$C10,G$5&lt;=$D10),1,"")</f>
        <v/>
      </c>
      <c r="H10" s="6" t="str">
        <f t="shared" si="4"/>
        <v/>
      </c>
      <c r="I10" s="6" t="str">
        <f t="shared" si="4"/>
        <v/>
      </c>
      <c r="J10" s="6" t="str">
        <f t="shared" si="4"/>
        <v/>
      </c>
      <c r="K10" s="6" t="str">
        <f t="shared" si="4"/>
        <v/>
      </c>
      <c r="L10" s="6" t="str">
        <f t="shared" si="4"/>
        <v/>
      </c>
      <c r="M10" s="6" t="str">
        <f t="shared" si="4"/>
        <v/>
      </c>
      <c r="N10" s="6" t="str">
        <f t="shared" si="4"/>
        <v/>
      </c>
      <c r="O10" s="6" t="str">
        <f t="shared" si="4"/>
        <v/>
      </c>
      <c r="P10" s="6" t="str">
        <f t="shared" si="4"/>
        <v/>
      </c>
      <c r="Q10" s="6" t="str">
        <f t="shared" si="4"/>
        <v/>
      </c>
      <c r="R10" s="6" t="str">
        <f t="shared" si="4"/>
        <v/>
      </c>
      <c r="S10" s="6" t="str">
        <f t="shared" si="4"/>
        <v/>
      </c>
      <c r="T10" s="6" t="str">
        <f t="shared" si="4"/>
        <v/>
      </c>
      <c r="U10" s="6" t="str">
        <f t="shared" si="4"/>
        <v/>
      </c>
      <c r="V10" s="6" t="str">
        <f t="shared" si="4"/>
        <v/>
      </c>
      <c r="W10" s="6" t="str">
        <f t="shared" si="4"/>
        <v/>
      </c>
      <c r="X10" s="6" t="str">
        <f t="shared" si="4"/>
        <v/>
      </c>
      <c r="Y10" s="6" t="str">
        <f t="shared" si="4"/>
        <v/>
      </c>
      <c r="Z10" s="6" t="str">
        <f t="shared" si="4"/>
        <v/>
      </c>
      <c r="AA10" s="6" t="str">
        <f t="shared" si="4"/>
        <v/>
      </c>
      <c r="AB10" s="6">
        <f t="shared" si="4"/>
        <v>1</v>
      </c>
      <c r="AC10" s="6">
        <f t="shared" si="4"/>
        <v>1</v>
      </c>
      <c r="AD10" s="6">
        <f t="shared" si="4"/>
        <v>1</v>
      </c>
    </row>
    <row r="11" spans="1:3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28" customHeight="1" spans="1:30">
      <c r="A12" s="7" t="s">
        <v>1505</v>
      </c>
      <c r="B12" s="7">
        <f>SUM(B6:B10)</f>
        <v>24</v>
      </c>
      <c r="C12" s="7"/>
      <c r="D12" s="7" t="s">
        <v>1506</v>
      </c>
      <c r="E12" s="7" t="str">
        <f>IF(AND(B12=24,D10=24),"与协议24个月一致","需检查")</f>
        <v>与协议24个月一致</v>
      </c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38" customHeight="1" spans="1:30">
      <c r="A14" s="2" t="s">
        <v>1507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ht="32" customHeight="1" spans="1:30">
      <c r="A16" s="2" t="s">
        <v>1508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</sheetData>
  <mergeCells count="5">
    <mergeCell ref="A1:AD1"/>
    <mergeCell ref="A2:AD2"/>
    <mergeCell ref="A3:AD3"/>
    <mergeCell ref="A14:AD14"/>
    <mergeCell ref="A16:AD16"/>
  </mergeCells>
  <conditionalFormatting sqref="G6:AD10">
    <cfRule type="expression" dxfId="3" priority="1">
      <formula>G6=1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总览</vt:lpstr>
      <vt:lpstr>开发功能清单</vt:lpstr>
      <vt:lpstr>约束与验收</vt:lpstr>
      <vt:lpstr>待确认事项</vt:lpstr>
      <vt:lpstr>条款追溯</vt:lpstr>
      <vt:lpstr>实施路线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2026-09-20T06:52:58Z</dcterms:created>
  <dcterms:modified xsi:type="dcterms:W3CDTF">2026-09-20T06:54:23Z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F8EEAB076D49326B8FE5AF6A62842976_42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